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jects\Financial Modelling\"/>
    </mc:Choice>
  </mc:AlternateContent>
  <xr:revisionPtr revIDLastSave="0" documentId="13_ncr:1_{EF387E29-D44B-40E8-8B45-8519A9D97865}" xr6:coauthVersionLast="47" xr6:coauthVersionMax="47" xr10:uidLastSave="{00000000-0000-0000-0000-000000000000}"/>
  <bookViews>
    <workbookView xWindow="-108" yWindow="-108" windowWidth="23256" windowHeight="12456" tabRatio="898" firstSheet="2" activeTab="8" xr2:uid="{00000000-000D-0000-FFFF-FFFF00000000}"/>
  </bookViews>
  <sheets>
    <sheet name="Summary Report" sheetId="20" r:id="rId1"/>
    <sheet name="Detailed Report" sheetId="18" r:id="rId2"/>
    <sheet name="Business Summary" sheetId="19" r:id="rId3"/>
    <sheet name="Assumptions" sheetId="1" r:id="rId4"/>
    <sheet name="Forecast IS" sheetId="12" r:id="rId5"/>
    <sheet name="Forecast BS" sheetId="13" r:id="rId6"/>
    <sheet name="Forecast CF" sheetId="14" r:id="rId7"/>
    <sheet name="Historical FS" sheetId="2" r:id="rId8"/>
    <sheet name="CVP Analysis" sheetId="21" r:id="rId9"/>
    <sheet name="Revenue Schedule" sheetId="3" r:id="rId10"/>
    <sheet name="COGS Schedule" sheetId="4" r:id="rId11"/>
    <sheet name="Operating Expenses" sheetId="5" r:id="rId12"/>
    <sheet name="Payroll" sheetId="6" r:id="rId13"/>
    <sheet name="Working Capital" sheetId="7" r:id="rId14"/>
    <sheet name="Capex" sheetId="8" r:id="rId15"/>
    <sheet name="Depreciation" sheetId="9" r:id="rId16"/>
    <sheet name="Debt" sheetId="10" r:id="rId17"/>
    <sheet name="Equity" sheetId="17" r:id="rId18"/>
    <sheet name="DCF Valuation" sheetId="15" r:id="rId19"/>
  </sheets>
  <calcPr calcId="181029"/>
</workbook>
</file>

<file path=xl/calcChain.xml><?xml version="1.0" encoding="utf-8"?>
<calcChain xmlns="http://schemas.openxmlformats.org/spreadsheetml/2006/main">
  <c r="D9" i="21" l="1"/>
  <c r="D5" i="21"/>
  <c r="D7" i="21"/>
  <c r="D8" i="21" s="1"/>
  <c r="D10" i="21" s="1"/>
  <c r="D11" i="21" s="1"/>
  <c r="C12" i="21"/>
  <c r="C9" i="21"/>
  <c r="C8" i="21"/>
  <c r="B23" i="20"/>
  <c r="B117" i="20"/>
  <c r="B116" i="20"/>
  <c r="B115" i="20"/>
  <c r="B114" i="20"/>
  <c r="B113" i="20"/>
  <c r="B112" i="20"/>
  <c r="B111" i="20"/>
  <c r="B110" i="20"/>
  <c r="C106" i="20"/>
  <c r="D106" i="20"/>
  <c r="E106" i="20"/>
  <c r="F106" i="20"/>
  <c r="B106" i="20"/>
  <c r="C105" i="20"/>
  <c r="D105" i="20"/>
  <c r="E105" i="20"/>
  <c r="F105" i="20"/>
  <c r="B105" i="20"/>
  <c r="C104" i="20"/>
  <c r="D104" i="20"/>
  <c r="E104" i="20"/>
  <c r="F104" i="20"/>
  <c r="B104" i="20"/>
  <c r="C103" i="20"/>
  <c r="D103" i="20"/>
  <c r="E103" i="20"/>
  <c r="B103" i="20"/>
  <c r="C102" i="20"/>
  <c r="D102" i="20"/>
  <c r="E102" i="20"/>
  <c r="F102" i="20"/>
  <c r="B102" i="20"/>
  <c r="C101" i="20"/>
  <c r="D101" i="20"/>
  <c r="E101" i="20"/>
  <c r="F101" i="20"/>
  <c r="B101" i="20"/>
  <c r="C100" i="20"/>
  <c r="D100" i="20"/>
  <c r="E100" i="20"/>
  <c r="F100" i="20"/>
  <c r="B100" i="20"/>
  <c r="C99" i="20"/>
  <c r="D99" i="20"/>
  <c r="E99" i="20"/>
  <c r="F99" i="20"/>
  <c r="B99" i="20"/>
  <c r="C98" i="20"/>
  <c r="D98" i="20"/>
  <c r="E98" i="20"/>
  <c r="F98" i="20"/>
  <c r="B98" i="20"/>
  <c r="C97" i="20"/>
  <c r="D97" i="20"/>
  <c r="E97" i="20"/>
  <c r="F97" i="20"/>
  <c r="B97" i="20"/>
  <c r="B90" i="20"/>
  <c r="B89" i="20"/>
  <c r="B88" i="20"/>
  <c r="B87" i="20"/>
  <c r="B86" i="20"/>
  <c r="B85" i="20"/>
  <c r="C81" i="20"/>
  <c r="D81" i="20"/>
  <c r="E81" i="20"/>
  <c r="F81" i="20"/>
  <c r="C80" i="20"/>
  <c r="D80" i="20"/>
  <c r="E80" i="20"/>
  <c r="F80" i="20"/>
  <c r="C79" i="20"/>
  <c r="D79" i="20"/>
  <c r="E79" i="20"/>
  <c r="F79" i="20"/>
  <c r="B81" i="20"/>
  <c r="B80" i="20"/>
  <c r="B79" i="20"/>
  <c r="B78" i="20"/>
  <c r="B77" i="20"/>
  <c r="C77" i="20"/>
  <c r="D77" i="20"/>
  <c r="E77" i="20"/>
  <c r="F77" i="20"/>
  <c r="C72" i="20"/>
  <c r="D72" i="20"/>
  <c r="E72" i="20"/>
  <c r="F72" i="20"/>
  <c r="C73" i="20"/>
  <c r="D73" i="20"/>
  <c r="E73" i="20"/>
  <c r="F73" i="20"/>
  <c r="B73" i="20"/>
  <c r="B72" i="20"/>
  <c r="C71" i="20"/>
  <c r="D71" i="20"/>
  <c r="E71" i="20"/>
  <c r="F71" i="20"/>
  <c r="B71" i="20"/>
  <c r="C66" i="20"/>
  <c r="D66" i="20"/>
  <c r="E66" i="20"/>
  <c r="F66" i="20"/>
  <c r="C67" i="20"/>
  <c r="D67" i="20"/>
  <c r="E67" i="20"/>
  <c r="F67" i="20"/>
  <c r="B67" i="20"/>
  <c r="B66" i="20"/>
  <c r="C63" i="20"/>
  <c r="D63" i="20"/>
  <c r="E63" i="20"/>
  <c r="F63" i="20"/>
  <c r="C64" i="20"/>
  <c r="D64" i="20"/>
  <c r="E64" i="20"/>
  <c r="F64" i="20"/>
  <c r="C65" i="20"/>
  <c r="D65" i="20"/>
  <c r="E65" i="20"/>
  <c r="F65" i="20"/>
  <c r="B64" i="20"/>
  <c r="B65" i="20"/>
  <c r="B63" i="20"/>
  <c r="C59" i="20"/>
  <c r="D59" i="20"/>
  <c r="E59" i="20"/>
  <c r="F59" i="20"/>
  <c r="B59" i="20"/>
  <c r="C58" i="20"/>
  <c r="D58" i="20"/>
  <c r="E58" i="20"/>
  <c r="F58" i="20"/>
  <c r="B58" i="20"/>
  <c r="C57" i="20"/>
  <c r="D57" i="20"/>
  <c r="E57" i="20"/>
  <c r="F57" i="20"/>
  <c r="C56" i="20"/>
  <c r="D56" i="20"/>
  <c r="E56" i="20"/>
  <c r="F56" i="20"/>
  <c r="B57" i="20"/>
  <c r="B56" i="20"/>
  <c r="C51" i="20"/>
  <c r="D51" i="20"/>
  <c r="E51" i="20"/>
  <c r="F51" i="20"/>
  <c r="C52" i="20"/>
  <c r="D52" i="20"/>
  <c r="E52" i="20"/>
  <c r="F52" i="20"/>
  <c r="C53" i="20"/>
  <c r="D53" i="20"/>
  <c r="E53" i="20"/>
  <c r="F53" i="20"/>
  <c r="C54" i="20"/>
  <c r="D54" i="20"/>
  <c r="E54" i="20"/>
  <c r="F54" i="20"/>
  <c r="C55" i="20"/>
  <c r="D55" i="20"/>
  <c r="E55" i="20"/>
  <c r="F55" i="20"/>
  <c r="B52" i="20"/>
  <c r="B53" i="20"/>
  <c r="B54" i="20"/>
  <c r="B55" i="20"/>
  <c r="B51" i="20"/>
  <c r="C46" i="20"/>
  <c r="D46" i="20"/>
  <c r="E46" i="20"/>
  <c r="F46" i="20"/>
  <c r="B46" i="20"/>
  <c r="C45" i="20"/>
  <c r="D45" i="20"/>
  <c r="E45" i="20"/>
  <c r="F45" i="20"/>
  <c r="B45" i="20"/>
  <c r="C44" i="20"/>
  <c r="D44" i="20"/>
  <c r="E44" i="20"/>
  <c r="F44" i="20"/>
  <c r="B44" i="20"/>
  <c r="C43" i="20"/>
  <c r="D43" i="20"/>
  <c r="E43" i="20"/>
  <c r="F43" i="20"/>
  <c r="B43" i="20"/>
  <c r="C42" i="20"/>
  <c r="D42" i="20"/>
  <c r="E42" i="20"/>
  <c r="F42" i="20"/>
  <c r="B42" i="20"/>
  <c r="B38" i="20"/>
  <c r="C38" i="20"/>
  <c r="D38" i="20"/>
  <c r="E38" i="20"/>
  <c r="F38" i="20"/>
  <c r="B36" i="20"/>
  <c r="C36" i="20"/>
  <c r="D36" i="20"/>
  <c r="E36" i="20"/>
  <c r="F36" i="20"/>
  <c r="B34" i="20"/>
  <c r="C34" i="20"/>
  <c r="D34" i="20"/>
  <c r="E34" i="20"/>
  <c r="F34" i="20"/>
  <c r="C37" i="20"/>
  <c r="D37" i="20"/>
  <c r="E37" i="20"/>
  <c r="F37" i="20"/>
  <c r="C35" i="20"/>
  <c r="D35" i="20"/>
  <c r="E35" i="20"/>
  <c r="F35" i="20"/>
  <c r="C33" i="20"/>
  <c r="D33" i="20"/>
  <c r="E33" i="20"/>
  <c r="F33" i="20"/>
  <c r="B37" i="20"/>
  <c r="B35" i="20"/>
  <c r="B33" i="20"/>
  <c r="B32" i="20"/>
  <c r="C32" i="20"/>
  <c r="D32" i="20"/>
  <c r="E32" i="20"/>
  <c r="F32" i="20"/>
  <c r="C31" i="20"/>
  <c r="D31" i="20"/>
  <c r="E31" i="20"/>
  <c r="F31" i="20"/>
  <c r="B31" i="20"/>
  <c r="C30" i="20"/>
  <c r="D30" i="20"/>
  <c r="E30" i="20"/>
  <c r="F30" i="20"/>
  <c r="C29" i="20"/>
  <c r="D29" i="20"/>
  <c r="E29" i="20"/>
  <c r="F29" i="20"/>
  <c r="B29" i="20"/>
  <c r="B25" i="20"/>
  <c r="B24" i="20"/>
  <c r="B22" i="20"/>
  <c r="B21" i="20"/>
  <c r="C11" i="8"/>
  <c r="D11" i="8"/>
  <c r="E11" i="8"/>
  <c r="E5" i="9" s="1"/>
  <c r="F11" i="8"/>
  <c r="F8" i="14" s="1"/>
  <c r="B11" i="8"/>
  <c r="C8" i="14"/>
  <c r="D8" i="14"/>
  <c r="E8" i="14"/>
  <c r="B8" i="14"/>
  <c r="C5" i="9"/>
  <c r="D5" i="9"/>
  <c r="B5" i="9"/>
  <c r="B6" i="9" s="1"/>
  <c r="F19" i="12"/>
  <c r="E12" i="18"/>
  <c r="E11" i="18"/>
  <c r="B9" i="15"/>
  <c r="B18" i="12"/>
  <c r="C18" i="12"/>
  <c r="G12" i="15"/>
  <c r="C12" i="15"/>
  <c r="D12" i="15"/>
  <c r="E12" i="15"/>
  <c r="F12" i="15"/>
  <c r="B12" i="15"/>
  <c r="C9" i="15"/>
  <c r="D9" i="15"/>
  <c r="E9" i="15"/>
  <c r="F9" i="15"/>
  <c r="B4" i="17"/>
  <c r="A5" i="13"/>
  <c r="A6" i="13"/>
  <c r="A7" i="13"/>
  <c r="A8" i="13"/>
  <c r="A10" i="13"/>
  <c r="A11" i="13"/>
  <c r="A12" i="13"/>
  <c r="A13" i="13"/>
  <c r="A5" i="14"/>
  <c r="A6" i="14"/>
  <c r="A7" i="14"/>
  <c r="A8" i="14"/>
  <c r="A9" i="14"/>
  <c r="A10" i="14"/>
  <c r="A11" i="14"/>
  <c r="A4" i="14"/>
  <c r="A4" i="13"/>
  <c r="A6" i="12"/>
  <c r="A8" i="12"/>
  <c r="A12" i="12"/>
  <c r="A14" i="12"/>
  <c r="A16" i="12"/>
  <c r="A18" i="12"/>
  <c r="A20" i="12"/>
  <c r="A22" i="12"/>
  <c r="A24" i="12"/>
  <c r="A4" i="12"/>
  <c r="C18" i="10"/>
  <c r="C9" i="14" s="1"/>
  <c r="D18" i="10"/>
  <c r="D9" i="14" s="1"/>
  <c r="E18" i="10"/>
  <c r="E9" i="14" s="1"/>
  <c r="F18" i="10"/>
  <c r="F9" i="14" s="1"/>
  <c r="B18" i="10"/>
  <c r="B9" i="14" s="1"/>
  <c r="B13" i="10"/>
  <c r="B14" i="10" s="1"/>
  <c r="B5" i="10"/>
  <c r="B7" i="10" s="1"/>
  <c r="B8" i="10" s="1"/>
  <c r="B5" i="5"/>
  <c r="C5" i="5" s="1"/>
  <c r="D5" i="5" s="1"/>
  <c r="E5" i="5" s="1"/>
  <c r="F5" i="5" s="1"/>
  <c r="B6" i="5"/>
  <c r="C6" i="5" s="1"/>
  <c r="D6" i="5" s="1"/>
  <c r="E6" i="5" s="1"/>
  <c r="F6" i="5" s="1"/>
  <c r="B7" i="5"/>
  <c r="C7" i="5" s="1"/>
  <c r="D7" i="5" s="1"/>
  <c r="E7" i="5" s="1"/>
  <c r="F7" i="5" s="1"/>
  <c r="B8" i="5"/>
  <c r="C8" i="5" s="1"/>
  <c r="D8" i="5" s="1"/>
  <c r="E8" i="5" s="1"/>
  <c r="F8" i="5" s="1"/>
  <c r="B10" i="5"/>
  <c r="C10" i="5" s="1"/>
  <c r="D10" i="5" s="1"/>
  <c r="E10" i="5" s="1"/>
  <c r="F10" i="5" s="1"/>
  <c r="B11" i="5"/>
  <c r="C11" i="5" s="1"/>
  <c r="D11" i="5" s="1"/>
  <c r="E11" i="5" s="1"/>
  <c r="F11" i="5" s="1"/>
  <c r="B12" i="5"/>
  <c r="C12" i="5" s="1"/>
  <c r="D12" i="5" s="1"/>
  <c r="E12" i="5" s="1"/>
  <c r="F12" i="5" s="1"/>
  <c r="B13" i="5"/>
  <c r="C13" i="5" s="1"/>
  <c r="D13" i="5" s="1"/>
  <c r="E13" i="5" s="1"/>
  <c r="F13" i="5" s="1"/>
  <c r="B4" i="5"/>
  <c r="A5" i="5"/>
  <c r="A6" i="5"/>
  <c r="A7" i="5"/>
  <c r="A8" i="5"/>
  <c r="A9" i="5"/>
  <c r="A10" i="5"/>
  <c r="A11" i="5"/>
  <c r="A12" i="5"/>
  <c r="A13" i="5"/>
  <c r="A4" i="5"/>
  <c r="C5" i="6"/>
  <c r="C6" i="6"/>
  <c r="C7" i="6"/>
  <c r="D7" i="6" s="1"/>
  <c r="E7" i="6" s="1"/>
  <c r="F7" i="6" s="1"/>
  <c r="G7" i="6" s="1"/>
  <c r="H7" i="6" s="1"/>
  <c r="C8" i="6"/>
  <c r="C4" i="6"/>
  <c r="B5" i="6"/>
  <c r="B6" i="6"/>
  <c r="B7" i="6"/>
  <c r="B8" i="6"/>
  <c r="D8" i="6" s="1"/>
  <c r="E8" i="6" s="1"/>
  <c r="F8" i="6" s="1"/>
  <c r="G8" i="6" s="1"/>
  <c r="H8" i="6" s="1"/>
  <c r="B4" i="6"/>
  <c r="A5" i="6"/>
  <c r="A6" i="6"/>
  <c r="A7" i="6"/>
  <c r="A8" i="6"/>
  <c r="A4" i="6"/>
  <c r="B4" i="3"/>
  <c r="C4" i="3" s="1"/>
  <c r="C14" i="4" s="1"/>
  <c r="A11" i="4"/>
  <c r="B5" i="4"/>
  <c r="C5" i="4" s="1"/>
  <c r="D5" i="4" s="1"/>
  <c r="E5" i="4" s="1"/>
  <c r="F5" i="4" s="1"/>
  <c r="B6" i="4"/>
  <c r="C6" i="4" s="1"/>
  <c r="D6" i="4" s="1"/>
  <c r="E6" i="4" s="1"/>
  <c r="F6" i="4" s="1"/>
  <c r="B7" i="4"/>
  <c r="C7" i="4" s="1"/>
  <c r="D7" i="4" s="1"/>
  <c r="E7" i="4" s="1"/>
  <c r="F7" i="4" s="1"/>
  <c r="B8" i="4"/>
  <c r="C8" i="4" s="1"/>
  <c r="D8" i="4" s="1"/>
  <c r="E8" i="4" s="1"/>
  <c r="F8" i="4" s="1"/>
  <c r="B9" i="4"/>
  <c r="C9" i="4" s="1"/>
  <c r="D9" i="4" s="1"/>
  <c r="E9" i="4" s="1"/>
  <c r="F9" i="4" s="1"/>
  <c r="B11" i="4"/>
  <c r="C11" i="4" s="1"/>
  <c r="D11" i="4" s="1"/>
  <c r="E11" i="4" s="1"/>
  <c r="F11" i="4" s="1"/>
  <c r="B4" i="4"/>
  <c r="C4" i="4" s="1"/>
  <c r="D4" i="4" s="1"/>
  <c r="E4" i="4" s="1"/>
  <c r="F4" i="4" s="1"/>
  <c r="A9" i="4"/>
  <c r="A5" i="4"/>
  <c r="A6" i="4"/>
  <c r="A7" i="4"/>
  <c r="A8" i="4"/>
  <c r="A4" i="4"/>
  <c r="B5" i="3"/>
  <c r="C5" i="3" s="1"/>
  <c r="D5" i="3" s="1"/>
  <c r="E5" i="3" s="1"/>
  <c r="F5" i="3" s="1"/>
  <c r="D26" i="2"/>
  <c r="C26" i="2"/>
  <c r="B26" i="2"/>
  <c r="D22" i="2"/>
  <c r="C22" i="2"/>
  <c r="B22" i="2"/>
  <c r="D7" i="2"/>
  <c r="D9" i="2" s="1"/>
  <c r="D11" i="2" s="1"/>
  <c r="D13" i="2" s="1"/>
  <c r="D15" i="2" s="1"/>
  <c r="D29" i="2" s="1"/>
  <c r="D32" i="2" s="1"/>
  <c r="D36" i="2" s="1"/>
  <c r="C7" i="2"/>
  <c r="C9" i="2" s="1"/>
  <c r="C11" i="2" s="1"/>
  <c r="C13" i="2" s="1"/>
  <c r="C15" i="2" s="1"/>
  <c r="C29" i="2" s="1"/>
  <c r="C32" i="2" s="1"/>
  <c r="C36" i="2" s="1"/>
  <c r="B7" i="2"/>
  <c r="B9" i="2" s="1"/>
  <c r="B11" i="2" s="1"/>
  <c r="B13" i="2" s="1"/>
  <c r="B15" i="2" s="1"/>
  <c r="B29" i="2" s="1"/>
  <c r="B32" i="2" s="1"/>
  <c r="B36" i="2" s="1"/>
  <c r="D12" i="21" l="1"/>
  <c r="D13" i="21" s="1"/>
  <c r="C10" i="21"/>
  <c r="C11" i="21" s="1"/>
  <c r="C13" i="21" s="1"/>
  <c r="F5" i="9"/>
  <c r="B14" i="12"/>
  <c r="B5" i="14"/>
  <c r="B7" i="9"/>
  <c r="C11" i="10"/>
  <c r="C13" i="10" s="1"/>
  <c r="C14" i="10" s="1"/>
  <c r="B16" i="10"/>
  <c r="C5" i="10"/>
  <c r="C7" i="10" s="1"/>
  <c r="B17" i="10"/>
  <c r="B11" i="13" s="1"/>
  <c r="D4" i="6"/>
  <c r="E4" i="6" s="1"/>
  <c r="D5" i="6"/>
  <c r="E5" i="6" s="1"/>
  <c r="F5" i="6" s="1"/>
  <c r="G5" i="6" s="1"/>
  <c r="H5" i="6" s="1"/>
  <c r="D6" i="6"/>
  <c r="E6" i="6" s="1"/>
  <c r="F6" i="6" s="1"/>
  <c r="G6" i="6" s="1"/>
  <c r="H6" i="6" s="1"/>
  <c r="C4" i="5"/>
  <c r="B10" i="4"/>
  <c r="C10" i="4" s="1"/>
  <c r="C12" i="4" s="1"/>
  <c r="C13" i="4" s="1"/>
  <c r="C15" i="4" s="1"/>
  <c r="B14" i="4"/>
  <c r="C6" i="3"/>
  <c r="D4" i="3"/>
  <c r="D14" i="4" s="1"/>
  <c r="B6" i="3"/>
  <c r="C4" i="9" l="1"/>
  <c r="B7" i="13"/>
  <c r="B8" i="15"/>
  <c r="D11" i="10"/>
  <c r="D13" i="10" s="1"/>
  <c r="E11" i="10" s="1"/>
  <c r="E13" i="10" s="1"/>
  <c r="D14" i="10"/>
  <c r="C8" i="10"/>
  <c r="C16" i="10" s="1"/>
  <c r="C17" i="10"/>
  <c r="C11" i="13" s="1"/>
  <c r="D5" i="10"/>
  <c r="D7" i="10" s="1"/>
  <c r="D10" i="6"/>
  <c r="C9" i="5"/>
  <c r="C15" i="5" s="1"/>
  <c r="C4" i="15"/>
  <c r="C4" i="7"/>
  <c r="C4" i="12"/>
  <c r="B9" i="5"/>
  <c r="B15" i="5" s="1"/>
  <c r="B10" i="12" s="1"/>
  <c r="B4" i="15"/>
  <c r="B4" i="7"/>
  <c r="B4" i="12"/>
  <c r="B19" i="12" s="1"/>
  <c r="B12" i="4"/>
  <c r="B13" i="4" s="1"/>
  <c r="B15" i="4" s="1"/>
  <c r="D4" i="5"/>
  <c r="C5" i="7"/>
  <c r="C6" i="13" s="1"/>
  <c r="C6" i="12"/>
  <c r="C6" i="7"/>
  <c r="C10" i="13" s="1"/>
  <c r="E10" i="6"/>
  <c r="F4" i="6"/>
  <c r="D10" i="4"/>
  <c r="D12" i="4" s="1"/>
  <c r="D13" i="4" s="1"/>
  <c r="D15" i="4" s="1"/>
  <c r="D6" i="3"/>
  <c r="E4" i="3"/>
  <c r="E14" i="4" s="1"/>
  <c r="C10" i="12" l="1"/>
  <c r="C11" i="12" s="1"/>
  <c r="C19" i="12"/>
  <c r="C5" i="12"/>
  <c r="B15" i="12"/>
  <c r="C6" i="9"/>
  <c r="F11" i="10"/>
  <c r="F13" i="10" s="1"/>
  <c r="E14" i="10"/>
  <c r="D8" i="10"/>
  <c r="D16" i="10" s="1"/>
  <c r="D18" i="12" s="1"/>
  <c r="D17" i="10"/>
  <c r="D11" i="13" s="1"/>
  <c r="E5" i="10"/>
  <c r="E7" i="10" s="1"/>
  <c r="C8" i="12"/>
  <c r="B5" i="7"/>
  <c r="B6" i="13" s="1"/>
  <c r="B6" i="7"/>
  <c r="B10" i="13" s="1"/>
  <c r="B6" i="12"/>
  <c r="B8" i="12" s="1"/>
  <c r="B9" i="12" s="1"/>
  <c r="B5" i="13"/>
  <c r="C8" i="7"/>
  <c r="C5" i="13"/>
  <c r="D6" i="12"/>
  <c r="D7" i="12" s="1"/>
  <c r="D6" i="7"/>
  <c r="D10" i="13" s="1"/>
  <c r="D5" i="7"/>
  <c r="D6" i="13" s="1"/>
  <c r="E10" i="4"/>
  <c r="F10" i="4" s="1"/>
  <c r="E4" i="5"/>
  <c r="D15" i="5"/>
  <c r="D10" i="12" s="1"/>
  <c r="D11" i="12" s="1"/>
  <c r="D9" i="5"/>
  <c r="D4" i="12"/>
  <c r="D4" i="15"/>
  <c r="D4" i="7"/>
  <c r="F10" i="6"/>
  <c r="G4" i="6"/>
  <c r="F4" i="3"/>
  <c r="E6" i="3"/>
  <c r="C12" i="12" l="1"/>
  <c r="C13" i="12" s="1"/>
  <c r="C9" i="12"/>
  <c r="D19" i="12"/>
  <c r="D5" i="12"/>
  <c r="C7" i="12"/>
  <c r="C5" i="14"/>
  <c r="C14" i="12"/>
  <c r="C15" i="12" s="1"/>
  <c r="C7" i="9"/>
  <c r="F14" i="10"/>
  <c r="F16" i="10" s="1"/>
  <c r="F18" i="12" s="1"/>
  <c r="F17" i="10"/>
  <c r="F11" i="13" s="1"/>
  <c r="D8" i="12"/>
  <c r="E17" i="10"/>
  <c r="E11" i="13" s="1"/>
  <c r="E8" i="10"/>
  <c r="E16" i="10" s="1"/>
  <c r="E18" i="12" s="1"/>
  <c r="B8" i="7"/>
  <c r="C9" i="7" s="1"/>
  <c r="D5" i="13"/>
  <c r="D8" i="7"/>
  <c r="D9" i="7" s="1"/>
  <c r="E9" i="5"/>
  <c r="E15" i="5" s="1"/>
  <c r="E4" i="15"/>
  <c r="E4" i="7"/>
  <c r="E4" i="12"/>
  <c r="B12" i="12"/>
  <c r="E12" i="4"/>
  <c r="E13" i="4" s="1"/>
  <c r="E15" i="4" s="1"/>
  <c r="F4" i="5"/>
  <c r="H4" i="6"/>
  <c r="H10" i="6" s="1"/>
  <c r="G10" i="6"/>
  <c r="F6" i="3"/>
  <c r="F14" i="4"/>
  <c r="F12" i="4"/>
  <c r="F13" i="4" s="1"/>
  <c r="E5" i="12" l="1"/>
  <c r="E19" i="12"/>
  <c r="D12" i="12"/>
  <c r="D13" i="12" s="1"/>
  <c r="D9" i="12"/>
  <c r="B16" i="12"/>
  <c r="B13" i="12"/>
  <c r="E10" i="12"/>
  <c r="E11" i="12" s="1"/>
  <c r="B20" i="12"/>
  <c r="B17" i="12"/>
  <c r="C7" i="13"/>
  <c r="D4" i="9"/>
  <c r="C8" i="15"/>
  <c r="C16" i="12"/>
  <c r="C17" i="12" s="1"/>
  <c r="B9" i="7"/>
  <c r="D10" i="15"/>
  <c r="D6" i="14"/>
  <c r="E5" i="13"/>
  <c r="C10" i="15"/>
  <c r="C6" i="14"/>
  <c r="F9" i="5"/>
  <c r="F15" i="5" s="1"/>
  <c r="F10" i="12" s="1"/>
  <c r="F11" i="12" s="1"/>
  <c r="F4" i="15"/>
  <c r="F4" i="7"/>
  <c r="F4" i="12"/>
  <c r="F5" i="12" s="1"/>
  <c r="B6" i="14"/>
  <c r="B10" i="15"/>
  <c r="E6" i="12"/>
  <c r="E6" i="7"/>
  <c r="E10" i="13" s="1"/>
  <c r="E5" i="7"/>
  <c r="E6" i="13" s="1"/>
  <c r="B5" i="15"/>
  <c r="B6" i="15" s="1"/>
  <c r="B7" i="15" s="1"/>
  <c r="F15" i="4"/>
  <c r="E8" i="12" l="1"/>
  <c r="E9" i="12" s="1"/>
  <c r="E7" i="12"/>
  <c r="B22" i="12"/>
  <c r="B21" i="12"/>
  <c r="D6" i="9"/>
  <c r="C20" i="12"/>
  <c r="C5" i="15"/>
  <c r="C6" i="15" s="1"/>
  <c r="C7" i="15" s="1"/>
  <c r="C11" i="15" s="1"/>
  <c r="C14" i="15" s="1"/>
  <c r="B11" i="15"/>
  <c r="B14" i="15" s="1"/>
  <c r="E12" i="12"/>
  <c r="E13" i="12" s="1"/>
  <c r="F5" i="13"/>
  <c r="E8" i="7"/>
  <c r="E9" i="7" s="1"/>
  <c r="F6" i="12"/>
  <c r="F6" i="7"/>
  <c r="F10" i="13" s="1"/>
  <c r="F5" i="7"/>
  <c r="F6" i="13" s="1"/>
  <c r="F8" i="12" l="1"/>
  <c r="F7" i="12"/>
  <c r="B24" i="12"/>
  <c r="B23" i="12"/>
  <c r="C22" i="12"/>
  <c r="C21" i="12"/>
  <c r="D14" i="12"/>
  <c r="D15" i="12" s="1"/>
  <c r="D5" i="14"/>
  <c r="D7" i="9"/>
  <c r="F8" i="7"/>
  <c r="F9" i="7" s="1"/>
  <c r="E10" i="15"/>
  <c r="E6" i="14"/>
  <c r="F10" i="15"/>
  <c r="F6" i="14"/>
  <c r="F12" i="12" l="1"/>
  <c r="F13" i="12" s="1"/>
  <c r="F9" i="12"/>
  <c r="C24" i="12"/>
  <c r="C23" i="12"/>
  <c r="B25" i="12"/>
  <c r="B6" i="17"/>
  <c r="B7" i="17" s="1"/>
  <c r="B10" i="14" s="1"/>
  <c r="B11" i="14" s="1"/>
  <c r="B4" i="13" s="1"/>
  <c r="B4" i="14"/>
  <c r="B7" i="14" s="1"/>
  <c r="E4" i="9"/>
  <c r="D7" i="13"/>
  <c r="D8" i="15"/>
  <c r="D16" i="12"/>
  <c r="D17" i="12" s="1"/>
  <c r="B8" i="17" l="1"/>
  <c r="B8" i="13"/>
  <c r="C25" i="12"/>
  <c r="C4" i="14"/>
  <c r="C7" i="14" s="1"/>
  <c r="C6" i="17"/>
  <c r="C7" i="17" s="1"/>
  <c r="C10" i="14" s="1"/>
  <c r="D5" i="15"/>
  <c r="D6" i="15" s="1"/>
  <c r="D7" i="15" s="1"/>
  <c r="D11" i="15" s="1"/>
  <c r="D14" i="15" s="1"/>
  <c r="D20" i="12"/>
  <c r="E6" i="9"/>
  <c r="B12" i="13"/>
  <c r="B13" i="13" s="1"/>
  <c r="C4" i="17"/>
  <c r="B15" i="13" l="1"/>
  <c r="C11" i="14"/>
  <c r="C4" i="13" s="1"/>
  <c r="C8" i="13" s="1"/>
  <c r="C8" i="17"/>
  <c r="C12" i="13" s="1"/>
  <c r="C13" i="13" s="1"/>
  <c r="D22" i="12"/>
  <c r="D21" i="12"/>
  <c r="E14" i="12"/>
  <c r="E15" i="12" s="1"/>
  <c r="E5" i="14"/>
  <c r="E7" i="9"/>
  <c r="D4" i="17" l="1"/>
  <c r="C15" i="13"/>
  <c r="D24" i="12"/>
  <c r="D23" i="12"/>
  <c r="E7" i="13"/>
  <c r="F4" i="9"/>
  <c r="E8" i="15"/>
  <c r="E16" i="12"/>
  <c r="E17" i="12" s="1"/>
  <c r="D25" i="12" l="1"/>
  <c r="D6" i="17"/>
  <c r="D4" i="14"/>
  <c r="D7" i="14" s="1"/>
  <c r="E5" i="15"/>
  <c r="E6" i="15" s="1"/>
  <c r="E7" i="15" s="1"/>
  <c r="E11" i="15" s="1"/>
  <c r="E14" i="15" s="1"/>
  <c r="E20" i="12"/>
  <c r="F6" i="9"/>
  <c r="F7" i="9" s="1"/>
  <c r="F7" i="13" s="1"/>
  <c r="E22" i="12" l="1"/>
  <c r="E21" i="12"/>
  <c r="D7" i="17"/>
  <c r="D10" i="14" s="1"/>
  <c r="D11" i="14" s="1"/>
  <c r="D4" i="13" s="1"/>
  <c r="D8" i="13" s="1"/>
  <c r="F5" i="14"/>
  <c r="F14" i="12"/>
  <c r="F15" i="12" s="1"/>
  <c r="D8" i="17" l="1"/>
  <c r="D12" i="13" s="1"/>
  <c r="D13" i="13" s="1"/>
  <c r="D15" i="13" s="1"/>
  <c r="E24" i="12"/>
  <c r="E23" i="12"/>
  <c r="E4" i="17"/>
  <c r="F8" i="15"/>
  <c r="F16" i="12"/>
  <c r="F17" i="12" s="1"/>
  <c r="E25" i="12" l="1"/>
  <c r="E4" i="14"/>
  <c r="E7" i="14" s="1"/>
  <c r="E6" i="17"/>
  <c r="E7" i="17" s="1"/>
  <c r="E10" i="14" s="1"/>
  <c r="F20" i="12"/>
  <c r="F5" i="15"/>
  <c r="F6" i="15" s="1"/>
  <c r="F7" i="15" s="1"/>
  <c r="F11" i="15" s="1"/>
  <c r="E8" i="17" l="1"/>
  <c r="F4" i="17" s="1"/>
  <c r="F22" i="12"/>
  <c r="F21" i="12"/>
  <c r="E11" i="14"/>
  <c r="E4" i="13" s="1"/>
  <c r="E8" i="13" s="1"/>
  <c r="G11" i="15"/>
  <c r="G14" i="15" s="1"/>
  <c r="E8" i="18"/>
  <c r="E9" i="18" s="1"/>
  <c r="F14" i="15"/>
  <c r="E7" i="18" s="1"/>
  <c r="E12" i="13" l="1"/>
  <c r="E13" i="13" s="1"/>
  <c r="E15" i="13" s="1"/>
  <c r="F24" i="12"/>
  <c r="F23" i="12"/>
  <c r="E10" i="18"/>
  <c r="E14" i="18" s="1"/>
  <c r="F25" i="12" l="1"/>
  <c r="F4" i="14"/>
  <c r="F7" i="14" s="1"/>
  <c r="F6" i="17"/>
  <c r="F7" i="17" l="1"/>
  <c r="F10" i="14" s="1"/>
  <c r="F11" i="14" s="1"/>
  <c r="F4" i="13" s="1"/>
  <c r="F8" i="13" s="1"/>
  <c r="F8" i="17" l="1"/>
  <c r="F12" i="13" s="1"/>
  <c r="F13" i="13" s="1"/>
  <c r="F15" i="13" s="1"/>
</calcChain>
</file>

<file path=xl/sharedStrings.xml><?xml version="1.0" encoding="utf-8"?>
<sst xmlns="http://schemas.openxmlformats.org/spreadsheetml/2006/main" count="574" uniqueCount="338">
  <si>
    <t>Category</t>
  </si>
  <si>
    <t>Assumption</t>
  </si>
  <si>
    <t>Value</t>
  </si>
  <si>
    <t>GENERAL</t>
  </si>
  <si>
    <t>Opening Year</t>
  </si>
  <si>
    <t>FY2025</t>
  </si>
  <si>
    <t>Forecast Period</t>
  </si>
  <si>
    <t>Working Days</t>
  </si>
  <si>
    <t>Inflation</t>
  </si>
  <si>
    <t>5%</t>
  </si>
  <si>
    <t>REVENUE</t>
  </si>
  <si>
    <t>Customers/Day</t>
  </si>
  <si>
    <t>Customer Growth</t>
  </si>
  <si>
    <t>8%</t>
  </si>
  <si>
    <t>Average Bill</t>
  </si>
  <si>
    <t>Price Growth</t>
  </si>
  <si>
    <t>4%</t>
  </si>
  <si>
    <t>Revenue Growth</t>
  </si>
  <si>
    <t>12%</t>
  </si>
  <si>
    <t>COGS</t>
  </si>
  <si>
    <t>Tea Powder/Customer</t>
  </si>
  <si>
    <t>Milk/Customer</t>
  </si>
  <si>
    <t>Sugar/Customer</t>
  </si>
  <si>
    <t>Spices/Customer</t>
  </si>
  <si>
    <t>Packaging/Customer</t>
  </si>
  <si>
    <t>Snacks Ingredients/Customer</t>
  </si>
  <si>
    <t>2%</t>
  </si>
  <si>
    <t>PAYROLL</t>
  </si>
  <si>
    <t>Manager Salary</t>
  </si>
  <si>
    <t>Cashier Salary</t>
  </si>
  <si>
    <t>Tea Master Salary</t>
  </si>
  <si>
    <t>Helper Salary</t>
  </si>
  <si>
    <t>Cleaner Salary</t>
  </si>
  <si>
    <t>Managers</t>
  </si>
  <si>
    <t>Cashiers</t>
  </si>
  <si>
    <t>Tea Masters</t>
  </si>
  <si>
    <t>Helpers</t>
  </si>
  <si>
    <t>Cleaners</t>
  </si>
  <si>
    <t>Salary Increment</t>
  </si>
  <si>
    <t>OPEX</t>
  </si>
  <si>
    <t>Annual Rent</t>
  </si>
  <si>
    <t>Electricity</t>
  </si>
  <si>
    <t>LPG</t>
  </si>
  <si>
    <t>Water</t>
  </si>
  <si>
    <t>Internet</t>
  </si>
  <si>
    <t>Marketing</t>
  </si>
  <si>
    <t>3% Revenue</t>
  </si>
  <si>
    <t>Repairs</t>
  </si>
  <si>
    <t>Insurance</t>
  </si>
  <si>
    <t>Office Expense</t>
  </si>
  <si>
    <t>Miscellaneous</t>
  </si>
  <si>
    <t>WORKING CAPITAL</t>
  </si>
  <si>
    <t>Receivable Days</t>
  </si>
  <si>
    <t>Inventory Days</t>
  </si>
  <si>
    <t>Payable Days</t>
  </si>
  <si>
    <t>CAPEX</t>
  </si>
  <si>
    <t>Annual Maintenance Capex</t>
  </si>
  <si>
    <t>Initial Fixed Assets</t>
  </si>
  <si>
    <t>DEPRECIATION</t>
  </si>
  <si>
    <t>Method</t>
  </si>
  <si>
    <t>Straight Line</t>
  </si>
  <si>
    <t>Average Useful Life</t>
  </si>
  <si>
    <t>10 Years</t>
  </si>
  <si>
    <t>DEBT</t>
  </si>
  <si>
    <t>Interest Rate</t>
  </si>
  <si>
    <t>10%</t>
  </si>
  <si>
    <t>Loan Tenure</t>
  </si>
  <si>
    <t>5 Years</t>
  </si>
  <si>
    <t>Annual Principal Repayment</t>
  </si>
  <si>
    <t>TAX</t>
  </si>
  <si>
    <t>Corporate Tax</t>
  </si>
  <si>
    <t>25%</t>
  </si>
  <si>
    <t>EQUITY</t>
  </si>
  <si>
    <t>Dividend Payout</t>
  </si>
  <si>
    <t>20%</t>
  </si>
  <si>
    <t>VALUATION</t>
  </si>
  <si>
    <t>WACC</t>
  </si>
  <si>
    <t>Terminal Growth</t>
  </si>
  <si>
    <t>Line Item</t>
  </si>
  <si>
    <t>FY2022</t>
  </si>
  <si>
    <t>FY2023</t>
  </si>
  <si>
    <t>FY2024</t>
  </si>
  <si>
    <t>INCOME STATEMENT</t>
  </si>
  <si>
    <t>Revenue</t>
  </si>
  <si>
    <t>Gross Profit</t>
  </si>
  <si>
    <t>Operating Expenses</t>
  </si>
  <si>
    <t>EBITDA</t>
  </si>
  <si>
    <t>Depreciation</t>
  </si>
  <si>
    <t>EBIT</t>
  </si>
  <si>
    <t>Interest</t>
  </si>
  <si>
    <t>PBT</t>
  </si>
  <si>
    <t>Tax</t>
  </si>
  <si>
    <t>Net Income</t>
  </si>
  <si>
    <t>BALANCE SHEET</t>
  </si>
  <si>
    <t>Cash</t>
  </si>
  <si>
    <t>AR</t>
  </si>
  <si>
    <t>Inventory</t>
  </si>
  <si>
    <t>Net PPE</t>
  </si>
  <si>
    <t>Total Assets</t>
  </si>
  <si>
    <t>AP</t>
  </si>
  <si>
    <t>Debt</t>
  </si>
  <si>
    <t>Owner Equity</t>
  </si>
  <si>
    <t>Total L+E</t>
  </si>
  <si>
    <t>CASH FLOW</t>
  </si>
  <si>
    <t>Working Capital Change</t>
  </si>
  <si>
    <t>Operating CF</t>
  </si>
  <si>
    <t>Capex</t>
  </si>
  <si>
    <t>Debt Movement</t>
  </si>
  <si>
    <t>Owner Contribution</t>
  </si>
  <si>
    <t>Net Cash Change</t>
  </si>
  <si>
    <t>FY25</t>
  </si>
  <si>
    <t>FY26</t>
  </si>
  <si>
    <t>FY27</t>
  </si>
  <si>
    <t>FY28</t>
  </si>
  <si>
    <t>FY29</t>
  </si>
  <si>
    <t>Component</t>
  </si>
  <si>
    <t>Expense</t>
  </si>
  <si>
    <t>Position</t>
  </si>
  <si>
    <t>Headcount</t>
  </si>
  <si>
    <t>Monthly Salary</t>
  </si>
  <si>
    <t>Metric</t>
  </si>
  <si>
    <t>Opening</t>
  </si>
  <si>
    <t>Addition</t>
  </si>
  <si>
    <t>Closing</t>
  </si>
  <si>
    <t>Particulars</t>
  </si>
  <si>
    <t>Item</t>
  </si>
  <si>
    <t>Customer per year</t>
  </si>
  <si>
    <t>Average bill</t>
  </si>
  <si>
    <t xml:space="preserve"> Sub Total</t>
  </si>
  <si>
    <t>Wastage (%)</t>
  </si>
  <si>
    <t xml:space="preserve"> Wastage  </t>
  </si>
  <si>
    <t xml:space="preserve">Total COGS per customer </t>
  </si>
  <si>
    <t>No of Customers</t>
  </si>
  <si>
    <t>Days operating</t>
  </si>
  <si>
    <t xml:space="preserve">Payroll </t>
  </si>
  <si>
    <t>Growth</t>
  </si>
  <si>
    <t xml:space="preserve">Accounts Receivable </t>
  </si>
  <si>
    <t xml:space="preserve">Inventory </t>
  </si>
  <si>
    <t xml:space="preserve">Accounts Payable </t>
  </si>
  <si>
    <t>Working Capital</t>
  </si>
  <si>
    <t>Year</t>
  </si>
  <si>
    <t xml:space="preserve">Opening </t>
  </si>
  <si>
    <t xml:space="preserve">Debt 1 </t>
  </si>
  <si>
    <t>Debt 2</t>
  </si>
  <si>
    <t xml:space="preserve">Principal payment </t>
  </si>
  <si>
    <t xml:space="preserve">Net </t>
  </si>
  <si>
    <t xml:space="preserve">Interest Payment </t>
  </si>
  <si>
    <t xml:space="preserve">Interest </t>
  </si>
  <si>
    <t>Principal Paid</t>
  </si>
  <si>
    <t>Change in WC</t>
  </si>
  <si>
    <t>Opening Equity</t>
  </si>
  <si>
    <t>+ Additional Capital</t>
  </si>
  <si>
    <t>+ Net Income</t>
  </si>
  <si>
    <t>- Dividend</t>
  </si>
  <si>
    <t>Closing Equity</t>
  </si>
  <si>
    <t>NOPAT</t>
  </si>
  <si>
    <t>+ Depreciation</t>
  </si>
  <si>
    <t>- Capex</t>
  </si>
  <si>
    <t>- Change in NWC</t>
  </si>
  <si>
    <t>FCFF</t>
  </si>
  <si>
    <t>Discount Factor</t>
  </si>
  <si>
    <t>Present Value</t>
  </si>
  <si>
    <t>Sum of PVFCFF</t>
  </si>
  <si>
    <t>Terminal Value</t>
  </si>
  <si>
    <t>PV of TV</t>
  </si>
  <si>
    <t>Enterprise Value</t>
  </si>
  <si>
    <t xml:space="preserve">Debt </t>
  </si>
  <si>
    <t>Equity Value</t>
  </si>
  <si>
    <t xml:space="preserve">Particulars </t>
  </si>
  <si>
    <t>Amount</t>
  </si>
  <si>
    <t>Payroll</t>
  </si>
  <si>
    <t xml:space="preserve">Assumptions </t>
  </si>
  <si>
    <t>Historical Financial Statements</t>
  </si>
  <si>
    <t>Revenue Schedule</t>
  </si>
  <si>
    <t>Cost of Goods Sold</t>
  </si>
  <si>
    <t>Working Capital and Changes</t>
  </si>
  <si>
    <t>Capital Expenditure</t>
  </si>
  <si>
    <t>Fixed Assets Schedule</t>
  </si>
  <si>
    <t>Debt Schedule</t>
  </si>
  <si>
    <t>Equity Schedule</t>
  </si>
  <si>
    <t>Forecasted Income Statement</t>
  </si>
  <si>
    <t>Forecasted Balance Sheet</t>
  </si>
  <si>
    <t>Forecasted Cashflow Statement</t>
  </si>
  <si>
    <t>DCF Valuation</t>
  </si>
  <si>
    <t>Valuation of the Business</t>
  </si>
  <si>
    <t>FY30 (TV)</t>
  </si>
  <si>
    <t>Operating Expenses (including Payroll)</t>
  </si>
  <si>
    <t>% Revenue Growth</t>
  </si>
  <si>
    <t xml:space="preserve">% COGS Growth </t>
  </si>
  <si>
    <t>% Operating Expenses Growth</t>
  </si>
  <si>
    <t>% Gross Profit Margin</t>
  </si>
  <si>
    <t>% EBITDA Margin</t>
  </si>
  <si>
    <t>% EBIT Margin</t>
  </si>
  <si>
    <t>% PBT Margin</t>
  </si>
  <si>
    <t>% PAT Margin</t>
  </si>
  <si>
    <t xml:space="preserve">% of Revenue </t>
  </si>
  <si>
    <t>(figures in rupees)</t>
  </si>
  <si>
    <t>Capex Item</t>
  </si>
  <si>
    <t>Tea Brewing Equipment</t>
  </si>
  <si>
    <t>Kitchen Equipment</t>
  </si>
  <si>
    <t>Furniture &amp; Fixtures</t>
  </si>
  <si>
    <t>Interior Improvements</t>
  </si>
  <si>
    <t>Air Conditioner &amp; Electrical</t>
  </si>
  <si>
    <t>POS System / IT / Billing</t>
  </si>
  <si>
    <t>CCTV / Misc. Equipment</t>
  </si>
  <si>
    <t>Total Capex</t>
  </si>
  <si>
    <t>Forecast Period (Years)</t>
  </si>
  <si>
    <t>New Loan</t>
  </si>
  <si>
    <t>Section</t>
  </si>
  <si>
    <t>Details</t>
  </si>
  <si>
    <t>Company Name</t>
  </si>
  <si>
    <t>Industry</t>
  </si>
  <si>
    <t>Food &amp; Beverage (Quick Service Restaurant - Tea Café)</t>
  </si>
  <si>
    <t>Business Type</t>
  </si>
  <si>
    <t>Single Outlet Premium Tea Shop</t>
  </si>
  <si>
    <t>Business Model</t>
  </si>
  <si>
    <t>Retail sale of tea, coffee, snacks and light refreshments through dine-in and takeaway</t>
  </si>
  <si>
    <t>Location</t>
  </si>
  <si>
    <t>Coimbatore, Tamil Nadu (Assumed)</t>
  </si>
  <si>
    <t>FY2025 – FY2029</t>
  </si>
  <si>
    <t>Currency</t>
  </si>
  <si>
    <t>Indian Rupees (₹)</t>
  </si>
  <si>
    <t>Financial Year</t>
  </si>
  <si>
    <t>April – March</t>
  </si>
  <si>
    <t>Valuation Date</t>
  </si>
  <si>
    <t>Valuation Method</t>
  </si>
  <si>
    <t>Discounted Cash Flow (FCFF)</t>
  </si>
  <si>
    <t>Purpose of Model</t>
  </si>
  <si>
    <t>Forecast financial performance and estimate enterprise &amp; equity value</t>
  </si>
  <si>
    <t>Historical Period</t>
  </si>
  <si>
    <t>FY2022 – FY2024</t>
  </si>
  <si>
    <t>Projected Period</t>
  </si>
  <si>
    <t>The business primarily generates revenue through the sale of tea, coffee, snacks and beverages.</t>
  </si>
  <si>
    <r>
      <t>Harsha Tea House</t>
    </r>
    <r>
      <rPr>
        <sz val="11"/>
        <color theme="1"/>
        <rFont val="Calibri"/>
        <family val="2"/>
        <scheme val="minor"/>
      </rPr>
      <t xml:space="preserve"> is a premium neighbourhood tea shop operating a single outlet in Coimbatore.  </t>
    </r>
  </si>
  <si>
    <t>Business Summary</t>
  </si>
  <si>
    <t xml:space="preserve">The model assumes stable customer growth driven by improved service quality, </t>
  </si>
  <si>
    <t>operational efficiency and periodic capital expenditure on equipment and store improvements.</t>
  </si>
  <si>
    <t xml:space="preserve">Harsha Tea House </t>
  </si>
  <si>
    <t>HARSHA TEA HOUSE - FINANCIAL MODEL SUMMARY REPORT</t>
  </si>
  <si>
    <t>BUSINESS INFORMATION</t>
  </si>
  <si>
    <t>Harsha Tea House</t>
  </si>
  <si>
    <t>Food &amp; Beverage (Tea Café)</t>
  </si>
  <si>
    <t>FY2025 - FY2029</t>
  </si>
  <si>
    <t>FY2022 - FY2024</t>
  </si>
  <si>
    <t>INR (₹)</t>
  </si>
  <si>
    <t>EXECUTIVE SUMMARY</t>
  </si>
  <si>
    <t>Net Debt</t>
  </si>
  <si>
    <t>Terminal Growth Rate</t>
  </si>
  <si>
    <t>FINANCIAL PERFORMANCE</t>
  </si>
  <si>
    <t>Revenue Growth %</t>
  </si>
  <si>
    <t>Gross Margin %</t>
  </si>
  <si>
    <t>EBITDA Margin %</t>
  </si>
  <si>
    <t>EBIT Margin %</t>
  </si>
  <si>
    <t>Net Profit</t>
  </si>
  <si>
    <t>Net Profit Margin %</t>
  </si>
  <si>
    <t>CASH FLOW SUMMARY</t>
  </si>
  <si>
    <t>Operating Cash Flow</t>
  </si>
  <si>
    <t>Investing Cash Flow</t>
  </si>
  <si>
    <t>Financing Cash Flow</t>
  </si>
  <si>
    <t>Free Cash Flow to Firm (FCFF)</t>
  </si>
  <si>
    <t>Closing Cash</t>
  </si>
  <si>
    <t>BALANCE SHEET SUMMARY</t>
  </si>
  <si>
    <t>Accounts Receivable</t>
  </si>
  <si>
    <t>Equity</t>
  </si>
  <si>
    <t>Total Liabilities &amp; Equity</t>
  </si>
  <si>
    <t>Accounts Payable</t>
  </si>
  <si>
    <t>Net Working Capital</t>
  </si>
  <si>
    <t>Change in Working Capital</t>
  </si>
  <si>
    <t>CAPITAL EXPENDITURE</t>
  </si>
  <si>
    <t>DEBT SUMMARY</t>
  </si>
  <si>
    <t>Opening Debt</t>
  </si>
  <si>
    <t>New Borrowings</t>
  </si>
  <si>
    <t>Principal Repayment</t>
  </si>
  <si>
    <t>Closing Debt</t>
  </si>
  <si>
    <t>Interest Expense</t>
  </si>
  <si>
    <t>VALUATION SUMMARY</t>
  </si>
  <si>
    <t>Present Value of FCFF</t>
  </si>
  <si>
    <t>Present Value of Terminal Value</t>
  </si>
  <si>
    <t>Less: Debt</t>
  </si>
  <si>
    <t>Add: Cash</t>
  </si>
  <si>
    <t>KEY RATIOS</t>
  </si>
  <si>
    <t>Ratio</t>
  </si>
  <si>
    <t>Current Ratio</t>
  </si>
  <si>
    <t>Debt / Equity</t>
  </si>
  <si>
    <t>Debt / EBITDA</t>
  </si>
  <si>
    <t>ROA</t>
  </si>
  <si>
    <t>ROE</t>
  </si>
  <si>
    <t>Asset Turnover</t>
  </si>
  <si>
    <t>Interest Coverage</t>
  </si>
  <si>
    <t>Inventory Turnover</t>
  </si>
  <si>
    <t>KEY ASSUMPTIONS</t>
  </si>
  <si>
    <t>COGS Inflation</t>
  </si>
  <si>
    <t>Salary Growth</t>
  </si>
  <si>
    <t>Tax Rate</t>
  </si>
  <si>
    <t>MODEL STATUS</t>
  </si>
  <si>
    <t>Check</t>
  </si>
  <si>
    <t>Status</t>
  </si>
  <si>
    <t>Balance Sheet Balanced</t>
  </si>
  <si>
    <t>Cash Flow Linked</t>
  </si>
  <si>
    <t>Debt Schedule Linked</t>
  </si>
  <si>
    <t>Depreciation Linked</t>
  </si>
  <si>
    <t>Working Capital Linked</t>
  </si>
  <si>
    <t>DCF Linked</t>
  </si>
  <si>
    <t>No Circular References</t>
  </si>
  <si>
    <t>INVESTMENT CONCLUSION</t>
  </si>
  <si>
    <t>Remarks</t>
  </si>
  <si>
    <t>Revenue Trend</t>
  </si>
  <si>
    <t>Profitability</t>
  </si>
  <si>
    <t>Liquidity</t>
  </si>
  <si>
    <t>Leverage</t>
  </si>
  <si>
    <t>Cash Generation</t>
  </si>
  <si>
    <t>Investment View</t>
  </si>
  <si>
    <t>Opex inflation</t>
  </si>
  <si>
    <t>Checked</t>
  </si>
  <si>
    <t>Stable Growth</t>
  </si>
  <si>
    <t>Healthy</t>
  </si>
  <si>
    <t>Positive</t>
  </si>
  <si>
    <t xml:space="preserve">Invest </t>
  </si>
  <si>
    <t>Valuation (₹)</t>
  </si>
  <si>
    <t>Cost-Volume-Profit Analysis for FY25</t>
  </si>
  <si>
    <t>Selling price per unit</t>
  </si>
  <si>
    <t>Variable cost per unit</t>
  </si>
  <si>
    <t>Contribution per unit</t>
  </si>
  <si>
    <t>Total Contribution</t>
  </si>
  <si>
    <t xml:space="preserve">Volume </t>
  </si>
  <si>
    <t xml:space="preserve">Fixed Cost </t>
  </si>
  <si>
    <t>Profit</t>
  </si>
  <si>
    <t>Scenario Analysis</t>
  </si>
  <si>
    <t>Base Case</t>
  </si>
  <si>
    <t xml:space="preserve">Best </t>
  </si>
  <si>
    <t>Worst</t>
  </si>
  <si>
    <t>Selling price growth</t>
  </si>
  <si>
    <t>Volume Growth</t>
  </si>
  <si>
    <t xml:space="preserve">VC Growth </t>
  </si>
  <si>
    <t>FC Growth</t>
  </si>
  <si>
    <t>(Select Case here)</t>
  </si>
  <si>
    <t>Worst Case</t>
  </si>
  <si>
    <t>(Enter volume here)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</si>
</sst>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43" formatCode="_ * #,##0.00_ ;_ * \-#,##0.00_ ;_ * &quot;-&quot;??_ ;_ @_ "/>
    <numFmt numFmtId="164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8" tint="-0.249977111117893"/>
      </right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double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3">
    <xf numFmtId="0" fontId="0" fillId="0" borderId="0" xfId="0"/>
    <xf numFmtId="43" fontId="0" fillId="0" borderId="0" xfId="1" applyFont="1"/>
    <xf numFmtId="164" fontId="0" fillId="0" borderId="0" xfId="1" applyNumberFormat="1" applyFont="1"/>
    <xf numFmtId="9" fontId="0" fillId="0" borderId="0" xfId="2" applyFont="1"/>
    <xf numFmtId="43" fontId="0" fillId="0" borderId="0" xfId="0" applyNumberFormat="1"/>
    <xf numFmtId="43" fontId="5" fillId="2" borderId="0" xfId="1" applyFont="1" applyFill="1"/>
    <xf numFmtId="43" fontId="4" fillId="0" borderId="1" xfId="1" applyFont="1" applyBorder="1"/>
    <xf numFmtId="43" fontId="0" fillId="0" borderId="0" xfId="1" applyFont="1" applyAlignment="1">
      <alignment horizontal="right"/>
    </xf>
    <xf numFmtId="0" fontId="5" fillId="2" borderId="0" xfId="0" applyFont="1" applyFill="1"/>
    <xf numFmtId="43" fontId="4" fillId="0" borderId="1" xfId="0" applyNumberFormat="1" applyFont="1" applyBorder="1"/>
    <xf numFmtId="164" fontId="5" fillId="2" borderId="0" xfId="1" applyNumberFormat="1" applyFont="1" applyFill="1"/>
    <xf numFmtId="43" fontId="7" fillId="0" borderId="0" xfId="1" applyFont="1"/>
    <xf numFmtId="43" fontId="4" fillId="0" borderId="2" xfId="1" applyFont="1" applyBorder="1"/>
    <xf numFmtId="43" fontId="4" fillId="0" borderId="0" xfId="1" applyFont="1" applyBorder="1"/>
    <xf numFmtId="43" fontId="4" fillId="0" borderId="3" xfId="1" applyFont="1" applyBorder="1"/>
    <xf numFmtId="43" fontId="2" fillId="2" borderId="0" xfId="1" applyFont="1" applyFill="1"/>
    <xf numFmtId="0" fontId="4" fillId="0" borderId="2" xfId="0" applyFont="1" applyBorder="1"/>
    <xf numFmtId="43" fontId="4" fillId="0" borderId="2" xfId="0" applyNumberFormat="1" applyFont="1" applyBorder="1"/>
    <xf numFmtId="0" fontId="4" fillId="0" borderId="1" xfId="0" applyFont="1" applyBorder="1"/>
    <xf numFmtId="0" fontId="0" fillId="0" borderId="0" xfId="0" applyAlignment="1">
      <alignment vertical="center"/>
    </xf>
    <xf numFmtId="6" fontId="0" fillId="0" borderId="0" xfId="0" applyNumberFormat="1" applyAlignment="1">
      <alignment horizontal="right" vertical="center"/>
    </xf>
    <xf numFmtId="43" fontId="0" fillId="0" borderId="0" xfId="0" applyNumberFormat="1" applyAlignment="1">
      <alignment horizontal="right" vertical="center"/>
    </xf>
    <xf numFmtId="6" fontId="0" fillId="0" borderId="0" xfId="0" applyNumberFormat="1"/>
    <xf numFmtId="43" fontId="3" fillId="0" borderId="0" xfId="1" applyFont="1"/>
    <xf numFmtId="43" fontId="2" fillId="2" borderId="0" xfId="1" applyFont="1" applyFill="1" applyAlignment="1">
      <alignment horizontal="center" vertical="center"/>
    </xf>
    <xf numFmtId="43" fontId="2" fillId="2" borderId="0" xfId="1" applyFont="1" applyFill="1" applyAlignment="1">
      <alignment horizontal="right" vertical="center"/>
    </xf>
    <xf numFmtId="43" fontId="0" fillId="0" borderId="0" xfId="1" applyFont="1" applyAlignment="1">
      <alignment vertical="center"/>
    </xf>
    <xf numFmtId="43" fontId="0" fillId="0" borderId="0" xfId="1" applyFont="1" applyAlignment="1">
      <alignment horizontal="right" vertical="center"/>
    </xf>
    <xf numFmtId="43" fontId="4" fillId="0" borderId="4" xfId="1" applyFont="1" applyBorder="1"/>
    <xf numFmtId="43" fontId="0" fillId="0" borderId="4" xfId="1" applyFont="1" applyBorder="1"/>
    <xf numFmtId="43" fontId="2" fillId="2" borderId="4" xfId="1" applyFont="1" applyFill="1" applyBorder="1"/>
    <xf numFmtId="43" fontId="4" fillId="0" borderId="1" xfId="1" applyFont="1" applyBorder="1" applyAlignment="1">
      <alignment vertical="center"/>
    </xf>
    <xf numFmtId="43" fontId="4" fillId="0" borderId="2" xfId="1" applyFont="1" applyBorder="1" applyAlignment="1">
      <alignment vertical="center"/>
    </xf>
    <xf numFmtId="43" fontId="4" fillId="0" borderId="2" xfId="1" applyFont="1" applyBorder="1" applyAlignment="1">
      <alignment horizontal="right" vertical="center"/>
    </xf>
    <xf numFmtId="164" fontId="4" fillId="0" borderId="0" xfId="1" applyNumberFormat="1" applyFont="1"/>
    <xf numFmtId="164" fontId="8" fillId="0" borderId="0" xfId="1" applyNumberFormat="1" applyFont="1"/>
    <xf numFmtId="0" fontId="2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vertical="center"/>
    </xf>
    <xf numFmtId="6" fontId="4" fillId="0" borderId="1" xfId="0" applyNumberFormat="1" applyFont="1" applyBorder="1" applyAlignment="1">
      <alignment horizontal="right" vertical="center"/>
    </xf>
    <xf numFmtId="43" fontId="5" fillId="3" borderId="0" xfId="1" applyFont="1" applyFill="1"/>
    <xf numFmtId="43" fontId="2" fillId="3" borderId="0" xfId="1" applyFont="1" applyFill="1"/>
    <xf numFmtId="43" fontId="0" fillId="3" borderId="0" xfId="1" applyFont="1" applyFill="1"/>
    <xf numFmtId="0" fontId="9" fillId="2" borderId="0" xfId="0" applyFont="1" applyFill="1"/>
    <xf numFmtId="43" fontId="1" fillId="0" borderId="0" xfId="1" applyFont="1"/>
    <xf numFmtId="43" fontId="0" fillId="0" borderId="0" xfId="1" applyFont="1" applyAlignment="1">
      <alignment horizontal="center"/>
    </xf>
    <xf numFmtId="43" fontId="12" fillId="3" borderId="5" xfId="1" applyFont="1" applyFill="1" applyBorder="1" applyAlignment="1">
      <alignment horizontal="right" vertical="center"/>
    </xf>
    <xf numFmtId="43" fontId="13" fillId="3" borderId="6" xfId="1" applyFont="1" applyFill="1" applyBorder="1"/>
    <xf numFmtId="43" fontId="13" fillId="3" borderId="6" xfId="1" applyFont="1" applyFill="1" applyBorder="1" applyAlignment="1">
      <alignment horizontal="right" vertical="center"/>
    </xf>
    <xf numFmtId="43" fontId="12" fillId="3" borderId="4" xfId="1" applyFont="1" applyFill="1" applyBorder="1"/>
    <xf numFmtId="43" fontId="2" fillId="4" borderId="5" xfId="1" applyFont="1" applyFill="1" applyBorder="1" applyAlignment="1">
      <alignment horizontal="right" vertical="center"/>
    </xf>
    <xf numFmtId="0" fontId="14" fillId="0" borderId="0" xfId="0" applyFont="1"/>
    <xf numFmtId="0" fontId="14" fillId="3" borderId="0" xfId="0" applyFont="1" applyFill="1"/>
    <xf numFmtId="10" fontId="14" fillId="0" borderId="0" xfId="2" applyNumberFormat="1" applyFont="1"/>
    <xf numFmtId="43" fontId="14" fillId="0" borderId="0" xfId="0" applyNumberFormat="1" applyFont="1"/>
    <xf numFmtId="10" fontId="0" fillId="0" borderId="0" xfId="2" applyNumberFormat="1" applyFont="1"/>
    <xf numFmtId="10" fontId="14" fillId="0" borderId="0" xfId="2" applyNumberFormat="1" applyFont="1" applyBorder="1"/>
    <xf numFmtId="0" fontId="15" fillId="0" borderId="0" xfId="0" applyFont="1" applyAlignment="1">
      <alignment horizontal="center"/>
    </xf>
    <xf numFmtId="43" fontId="2" fillId="5" borderId="4" xfId="1" applyFont="1" applyFill="1" applyBorder="1"/>
    <xf numFmtId="3" fontId="0" fillId="0" borderId="0" xfId="0" applyNumberFormat="1"/>
    <xf numFmtId="3" fontId="0" fillId="0" borderId="0" xfId="0" applyNumberForma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4" fillId="0" borderId="10" xfId="0" applyFont="1" applyBorder="1" applyAlignment="1">
      <alignment vertical="center"/>
    </xf>
    <xf numFmtId="3" fontId="4" fillId="0" borderId="10" xfId="0" applyNumberFormat="1" applyFont="1" applyBorder="1" applyAlignment="1">
      <alignment horizontal="right" vertical="center"/>
    </xf>
    <xf numFmtId="0" fontId="9" fillId="3" borderId="0" xfId="0" applyFont="1" applyFill="1" applyAlignment="1">
      <alignment horizontal="center"/>
    </xf>
    <xf numFmtId="9" fontId="0" fillId="0" borderId="0" xfId="2" applyFont="1" applyAlignment="1">
      <alignment horizontal="right"/>
    </xf>
    <xf numFmtId="2" fontId="0" fillId="0" borderId="0" xfId="2" applyNumberFormat="1" applyFont="1" applyAlignment="1">
      <alignment horizontal="right"/>
    </xf>
    <xf numFmtId="9" fontId="0" fillId="0" borderId="0" xfId="1" applyNumberFormat="1" applyFont="1" applyAlignment="1">
      <alignment horizontal="right"/>
    </xf>
    <xf numFmtId="9" fontId="0" fillId="0" borderId="0" xfId="2" applyFont="1" applyAlignment="1">
      <alignment horizontal="left"/>
    </xf>
    <xf numFmtId="43" fontId="5" fillId="2" borderId="0" xfId="1" applyFont="1" applyFill="1" applyAlignment="1">
      <alignment horizontal="center"/>
    </xf>
    <xf numFmtId="0" fontId="4" fillId="0" borderId="0" xfId="0" applyFont="1"/>
    <xf numFmtId="0" fontId="11" fillId="2" borderId="0" xfId="0" applyFont="1" applyFill="1"/>
    <xf numFmtId="0" fontId="2" fillId="2" borderId="0" xfId="0" applyFont="1" applyFill="1"/>
    <xf numFmtId="0" fontId="2" fillId="2" borderId="8" xfId="0" applyFont="1" applyFill="1" applyBorder="1" applyAlignment="1">
      <alignment horizontal="left" vertical="center"/>
    </xf>
    <xf numFmtId="0" fontId="0" fillId="0" borderId="7" xfId="0" applyBorder="1"/>
    <xf numFmtId="15" fontId="0" fillId="0" borderId="0" xfId="0" applyNumberFormat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4" fillId="0" borderId="15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5" fontId="0" fillId="0" borderId="0" xfId="0" applyNumberFormat="1" applyAlignment="1">
      <alignment horizontal="left"/>
    </xf>
    <xf numFmtId="0" fontId="7" fillId="0" borderId="0" xfId="0" applyFont="1"/>
    <xf numFmtId="9" fontId="0" fillId="0" borderId="0" xfId="0" applyNumberFormat="1" applyAlignment="1">
      <alignment horizontal="right"/>
    </xf>
    <xf numFmtId="0" fontId="16" fillId="0" borderId="0" xfId="0" applyFont="1"/>
    <xf numFmtId="0" fontId="16" fillId="3" borderId="0" xfId="0" applyFont="1" applyFill="1"/>
    <xf numFmtId="10" fontId="16" fillId="0" borderId="0" xfId="2" applyNumberFormat="1" applyFont="1"/>
    <xf numFmtId="43" fontId="16" fillId="0" borderId="0" xfId="1" applyFont="1"/>
    <xf numFmtId="9" fontId="16" fillId="0" borderId="0" xfId="2" applyFont="1"/>
    <xf numFmtId="9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left"/>
    </xf>
    <xf numFmtId="164" fontId="0" fillId="0" borderId="0" xfId="0" applyNumberFormat="1"/>
    <xf numFmtId="164" fontId="0" fillId="0" borderId="0" xfId="1" applyNumberFormat="1" applyFont="1" applyAlignment="1">
      <alignment horizontal="left"/>
    </xf>
    <xf numFmtId="0" fontId="15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43" fontId="10" fillId="2" borderId="0" xfId="1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164" fontId="9" fillId="2" borderId="0" xfId="1" applyNumberFormat="1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164" fontId="2" fillId="2" borderId="0" xfId="1" applyNumberFormat="1" applyFont="1" applyFill="1"/>
    <xf numFmtId="164" fontId="2" fillId="2" borderId="0" xfId="1" applyNumberFormat="1" applyFont="1" applyFill="1" applyAlignment="1">
      <alignment horizontal="center"/>
    </xf>
    <xf numFmtId="164" fontId="4" fillId="0" borderId="2" xfId="1" applyNumberFormat="1" applyFont="1" applyBorder="1"/>
    <xf numFmtId="164" fontId="0" fillId="3" borderId="0" xfId="1" applyNumberFormat="1" applyFont="1" applyFill="1"/>
    <xf numFmtId="164" fontId="2" fillId="3" borderId="0" xfId="1" applyNumberFormat="1" applyFont="1" applyFill="1" applyAlignment="1">
      <alignment horizontal="center"/>
    </xf>
    <xf numFmtId="164" fontId="0" fillId="0" borderId="16" xfId="1" applyNumberFormat="1" applyFont="1" applyBorder="1"/>
    <xf numFmtId="164" fontId="4" fillId="0" borderId="1" xfId="1" applyNumberFormat="1" applyFont="1" applyBorder="1"/>
    <xf numFmtId="164" fontId="0" fillId="0" borderId="0" xfId="1" applyNumberFormat="1" applyFont="1" applyAlignment="1">
      <alignment horizontal="center"/>
    </xf>
    <xf numFmtId="164" fontId="2" fillId="2" borderId="4" xfId="1" applyNumberFormat="1" applyFont="1" applyFill="1" applyBorder="1" applyAlignment="1">
      <alignment horizontal="center"/>
    </xf>
    <xf numFmtId="164" fontId="15" fillId="3" borderId="0" xfId="1" applyNumberFormat="1" applyFont="1" applyFill="1" applyAlignment="1">
      <alignment horizontal="center"/>
    </xf>
    <xf numFmtId="43" fontId="0" fillId="0" borderId="0" xfId="1" applyNumberFormat="1" applyFont="1" applyAlignment="1">
      <alignment horizontal="center"/>
    </xf>
    <xf numFmtId="43" fontId="0" fillId="0" borderId="16" xfId="1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17" fillId="6" borderId="17" xfId="1" applyNumberFormat="1" applyFont="1" applyFill="1" applyBorder="1" applyAlignment="1">
      <alignment horizontal="center"/>
    </xf>
    <xf numFmtId="164" fontId="2" fillId="2" borderId="0" xfId="1" applyNumberFormat="1" applyFont="1" applyFill="1" applyBorder="1" applyAlignment="1">
      <alignment horizontal="center"/>
    </xf>
    <xf numFmtId="164" fontId="2" fillId="2" borderId="0" xfId="1" applyNumberFormat="1" applyFont="1" applyFill="1" applyBorder="1" applyAlignment="1">
      <alignment horizontal="center" vertical="center"/>
    </xf>
    <xf numFmtId="164" fontId="2" fillId="2" borderId="17" xfId="1" applyNumberFormat="1" applyFont="1" applyFill="1" applyBorder="1" applyAlignment="1">
      <alignment horizontal="center" vertical="center"/>
    </xf>
    <xf numFmtId="164" fontId="17" fillId="6" borderId="4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20</xdr:col>
      <xdr:colOff>419100</xdr:colOff>
      <xdr:row>26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F9D5A0-5FAA-FF7F-3457-D63FA84F8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5720" y="0"/>
          <a:ext cx="6515100" cy="467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</xdr:row>
      <xdr:rowOff>137160</xdr:rowOff>
    </xdr:from>
    <xdr:to>
      <xdr:col>18</xdr:col>
      <xdr:colOff>518161</xdr:colOff>
      <xdr:row>42</xdr:row>
      <xdr:rowOff>68580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77DF75-B495-3EEC-4DB2-B0134B52F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5720" y="5021580"/>
          <a:ext cx="5394960" cy="2491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601980</xdr:colOff>
      <xdr:row>44</xdr:row>
      <xdr:rowOff>7620</xdr:rowOff>
    </xdr:from>
    <xdr:to>
      <xdr:col>19</xdr:col>
      <xdr:colOff>205740</xdr:colOff>
      <xdr:row>55</xdr:row>
      <xdr:rowOff>106680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358B88-238A-9E0A-6251-4B7AF663A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7818120"/>
          <a:ext cx="5699760" cy="2110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148167</xdr:colOff>
      <xdr:row>2</xdr:row>
      <xdr:rowOff>0</xdr:rowOff>
    </xdr:from>
    <xdr:to>
      <xdr:col>31</xdr:col>
      <xdr:colOff>128693</xdr:colOff>
      <xdr:row>7</xdr:row>
      <xdr:rowOff>167640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4C79BA-16BE-229A-9D3D-C38B5956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381000"/>
          <a:ext cx="6118860" cy="1204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148167</xdr:colOff>
      <xdr:row>8</xdr:row>
      <xdr:rowOff>169333</xdr:rowOff>
    </xdr:from>
    <xdr:to>
      <xdr:col>31</xdr:col>
      <xdr:colOff>186267</xdr:colOff>
      <xdr:row>24</xdr:row>
      <xdr:rowOff>77893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37704E7-3796-EED4-DA12-A7BF74D61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1778000"/>
          <a:ext cx="6176434" cy="295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169334</xdr:colOff>
      <xdr:row>25</xdr:row>
      <xdr:rowOff>148167</xdr:rowOff>
    </xdr:from>
    <xdr:to>
      <xdr:col>31</xdr:col>
      <xdr:colOff>104140</xdr:colOff>
      <xdr:row>41</xdr:row>
      <xdr:rowOff>56727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1AF2CEE-EE82-0BEF-E70B-39F51FEA0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22667" y="4995334"/>
          <a:ext cx="6073140" cy="295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148166</xdr:colOff>
      <xdr:row>42</xdr:row>
      <xdr:rowOff>148167</xdr:rowOff>
    </xdr:from>
    <xdr:to>
      <xdr:col>33</xdr:col>
      <xdr:colOff>52494</xdr:colOff>
      <xdr:row>53</xdr:row>
      <xdr:rowOff>56727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ACE4917-B344-7CD9-3896-A7355A33E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2999" y="8233834"/>
          <a:ext cx="7270327" cy="2004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169333</xdr:colOff>
      <xdr:row>55</xdr:row>
      <xdr:rowOff>21167</xdr:rowOff>
    </xdr:from>
    <xdr:to>
      <xdr:col>29</xdr:col>
      <xdr:colOff>504614</xdr:colOff>
      <xdr:row>64</xdr:row>
      <xdr:rowOff>127847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0E654D0-E8D6-3FC8-8A9E-98B8E2F11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4166" y="10583334"/>
          <a:ext cx="5245947" cy="182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232833</xdr:colOff>
      <xdr:row>66</xdr:row>
      <xdr:rowOff>0</xdr:rowOff>
    </xdr:from>
    <xdr:to>
      <xdr:col>28</xdr:col>
      <xdr:colOff>347133</xdr:colOff>
      <xdr:row>77</xdr:row>
      <xdr:rowOff>99060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834925E-18F2-B2CA-F551-3C1E6F94A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7666" y="12657667"/>
          <a:ext cx="4411134" cy="2194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211667</xdr:colOff>
      <xdr:row>78</xdr:row>
      <xdr:rowOff>148167</xdr:rowOff>
    </xdr:from>
    <xdr:to>
      <xdr:col>29</xdr:col>
      <xdr:colOff>70275</xdr:colOff>
      <xdr:row>86</xdr:row>
      <xdr:rowOff>49107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8A3EE36-F1DD-9714-B7F0-D54905423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0" y="15091834"/>
          <a:ext cx="4769274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232833</xdr:colOff>
      <xdr:row>86</xdr:row>
      <xdr:rowOff>169333</xdr:rowOff>
    </xdr:from>
    <xdr:to>
      <xdr:col>29</xdr:col>
      <xdr:colOff>484294</xdr:colOff>
      <xdr:row>105</xdr:row>
      <xdr:rowOff>77893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E6175F3-727E-AF2F-4998-1AAA98086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7666" y="16637000"/>
          <a:ext cx="5162127" cy="3528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305646</xdr:colOff>
      <xdr:row>106</xdr:row>
      <xdr:rowOff>151553</xdr:rowOff>
    </xdr:from>
    <xdr:to>
      <xdr:col>29</xdr:col>
      <xdr:colOff>549487</xdr:colOff>
      <xdr:row>115</xdr:row>
      <xdr:rowOff>60113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A41E20A-F6A0-7C97-F836-45C637827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0479" y="20429220"/>
          <a:ext cx="5154507" cy="162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296333</xdr:colOff>
      <xdr:row>16</xdr:row>
      <xdr:rowOff>21167</xdr:rowOff>
    </xdr:from>
    <xdr:to>
      <xdr:col>9</xdr:col>
      <xdr:colOff>247208</xdr:colOff>
      <xdr:row>30</xdr:row>
      <xdr:rowOff>120227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CC34FEA-9813-917F-3FAB-935378558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333" y="3153834"/>
          <a:ext cx="6336453" cy="2766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531C-245F-4CAB-94DF-26D5AF6568BF}">
  <sheetPr>
    <pageSetUpPr fitToPage="1"/>
  </sheetPr>
  <dimension ref="A1:F137"/>
  <sheetViews>
    <sheetView showGridLines="0" workbookViewId="0">
      <selection activeCell="L15" sqref="L15"/>
    </sheetView>
  </sheetViews>
  <sheetFormatPr defaultRowHeight="14.4" x14ac:dyDescent="0.3"/>
  <cols>
    <col min="1" max="1" width="29.21875" customWidth="1"/>
    <col min="2" max="2" width="12" customWidth="1"/>
    <col min="3" max="6" width="9.77734375" bestFit="1" customWidth="1"/>
  </cols>
  <sheetData>
    <row r="1" spans="1:4" s="71" customFormat="1" ht="21" x14ac:dyDescent="0.4">
      <c r="A1" s="42" t="s">
        <v>238</v>
      </c>
    </row>
    <row r="3" spans="1:4" x14ac:dyDescent="0.3">
      <c r="A3" s="70" t="s">
        <v>233</v>
      </c>
    </row>
    <row r="4" spans="1:4" x14ac:dyDescent="0.3">
      <c r="A4" t="s">
        <v>232</v>
      </c>
    </row>
    <row r="5" spans="1:4" x14ac:dyDescent="0.3">
      <c r="A5" t="s">
        <v>235</v>
      </c>
    </row>
    <row r="6" spans="1:4" x14ac:dyDescent="0.3">
      <c r="A6" t="s">
        <v>236</v>
      </c>
    </row>
    <row r="8" spans="1:4" x14ac:dyDescent="0.3">
      <c r="A8" s="82" t="s">
        <v>239</v>
      </c>
    </row>
    <row r="9" spans="1:4" x14ac:dyDescent="0.3">
      <c r="A9" s="72" t="s">
        <v>124</v>
      </c>
      <c r="B9" s="72" t="s">
        <v>2</v>
      </c>
      <c r="C9" s="72"/>
      <c r="D9" s="72"/>
    </row>
    <row r="10" spans="1:4" x14ac:dyDescent="0.3">
      <c r="A10" t="s">
        <v>210</v>
      </c>
      <c r="B10" t="s">
        <v>240</v>
      </c>
    </row>
    <row r="11" spans="1:4" x14ac:dyDescent="0.3">
      <c r="A11" t="s">
        <v>211</v>
      </c>
      <c r="B11" t="s">
        <v>241</v>
      </c>
    </row>
    <row r="12" spans="1:4" x14ac:dyDescent="0.3">
      <c r="A12" t="s">
        <v>213</v>
      </c>
      <c r="B12" t="s">
        <v>214</v>
      </c>
    </row>
    <row r="13" spans="1:4" x14ac:dyDescent="0.3">
      <c r="A13" t="s">
        <v>6</v>
      </c>
      <c r="B13" t="s">
        <v>242</v>
      </c>
    </row>
    <row r="14" spans="1:4" x14ac:dyDescent="0.3">
      <c r="A14" t="s">
        <v>229</v>
      </c>
      <c r="B14" t="s">
        <v>243</v>
      </c>
    </row>
    <row r="15" spans="1:4" x14ac:dyDescent="0.3">
      <c r="A15" t="s">
        <v>220</v>
      </c>
      <c r="B15" t="s">
        <v>244</v>
      </c>
    </row>
    <row r="16" spans="1:4" x14ac:dyDescent="0.3">
      <c r="A16" t="s">
        <v>225</v>
      </c>
      <c r="B16" t="s">
        <v>226</v>
      </c>
    </row>
    <row r="17" spans="1:6" x14ac:dyDescent="0.3">
      <c r="A17" t="s">
        <v>224</v>
      </c>
      <c r="B17" s="81">
        <v>45747</v>
      </c>
    </row>
    <row r="19" spans="1:6" x14ac:dyDescent="0.3">
      <c r="A19" s="82" t="s">
        <v>245</v>
      </c>
    </row>
    <row r="20" spans="1:6" x14ac:dyDescent="0.3">
      <c r="A20" s="90" t="s">
        <v>120</v>
      </c>
      <c r="B20" s="90" t="s">
        <v>2</v>
      </c>
    </row>
    <row r="21" spans="1:6" x14ac:dyDescent="0.3">
      <c r="A21" s="91" t="s">
        <v>165</v>
      </c>
      <c r="B21" s="94">
        <f>'Detailed Report'!$E$10</f>
        <v>11003425.121819852</v>
      </c>
    </row>
    <row r="22" spans="1:6" x14ac:dyDescent="0.3">
      <c r="A22" s="91" t="s">
        <v>167</v>
      </c>
      <c r="B22" s="94">
        <f>'Detailed Report'!$E$14</f>
        <v>11093425.121819852</v>
      </c>
    </row>
    <row r="23" spans="1:6" x14ac:dyDescent="0.3">
      <c r="A23" s="91" t="s">
        <v>246</v>
      </c>
      <c r="B23" s="94">
        <f>'Detailed Report'!$E$11</f>
        <v>80000</v>
      </c>
    </row>
    <row r="24" spans="1:6" x14ac:dyDescent="0.3">
      <c r="A24" s="91" t="s">
        <v>76</v>
      </c>
      <c r="B24" s="83" t="str">
        <f>Assumptions!C68</f>
        <v>12%</v>
      </c>
    </row>
    <row r="25" spans="1:6" x14ac:dyDescent="0.3">
      <c r="A25" s="91" t="s">
        <v>247</v>
      </c>
      <c r="B25" s="83" t="str">
        <f>Assumptions!C69</f>
        <v>4%</v>
      </c>
    </row>
    <row r="26" spans="1:6" x14ac:dyDescent="0.3">
      <c r="B26" s="92"/>
    </row>
    <row r="27" spans="1:6" x14ac:dyDescent="0.3">
      <c r="A27" s="82" t="s">
        <v>248</v>
      </c>
    </row>
    <row r="28" spans="1:6" x14ac:dyDescent="0.3">
      <c r="A28" s="72" t="s">
        <v>120</v>
      </c>
      <c r="B28" s="72" t="s">
        <v>110</v>
      </c>
      <c r="C28" s="72" t="s">
        <v>111</v>
      </c>
      <c r="D28" s="72" t="s">
        <v>112</v>
      </c>
      <c r="E28" s="72" t="s">
        <v>113</v>
      </c>
      <c r="F28" s="72" t="s">
        <v>114</v>
      </c>
    </row>
    <row r="29" spans="1:6" x14ac:dyDescent="0.3">
      <c r="A29" t="s">
        <v>83</v>
      </c>
      <c r="B29" s="94">
        <f>'Forecast IS'!B4</f>
        <v>4860000</v>
      </c>
      <c r="C29" s="94">
        <f>'Forecast IS'!C4</f>
        <v>5458752</v>
      </c>
      <c r="D29" s="94">
        <f>'Forecast IS'!D4</f>
        <v>6131270.2464000005</v>
      </c>
      <c r="E29" s="94">
        <f>'Forecast IS'!E4</f>
        <v>6886642.740756481</v>
      </c>
      <c r="F29" s="94">
        <f>'Forecast IS'!F4</f>
        <v>7735077.1264176816</v>
      </c>
    </row>
    <row r="30" spans="1:6" x14ac:dyDescent="0.3">
      <c r="A30" s="84" t="s">
        <v>249</v>
      </c>
      <c r="B30" s="87">
        <v>0</v>
      </c>
      <c r="C30" s="88">
        <f>'Forecast IS'!C5</f>
        <v>0.1232</v>
      </c>
      <c r="D30" s="88">
        <f>'Forecast IS'!D5</f>
        <v>0.1232000000000001</v>
      </c>
      <c r="E30" s="88">
        <f>'Forecast IS'!E5</f>
        <v>0.12320000000000006</v>
      </c>
      <c r="F30" s="88">
        <f>'Forecast IS'!F5</f>
        <v>0.12320000000000031</v>
      </c>
    </row>
    <row r="31" spans="1:6" x14ac:dyDescent="0.3">
      <c r="A31" t="s">
        <v>84</v>
      </c>
      <c r="B31" s="94">
        <f>'Forecast IS'!B8</f>
        <v>3273696</v>
      </c>
      <c r="C31" s="94">
        <f>'Forecast IS'!C8</f>
        <v>3677015.3471999997</v>
      </c>
      <c r="D31" s="94">
        <f>'Forecast IS'!D8</f>
        <v>4168509.1496755201</v>
      </c>
      <c r="E31" s="94">
        <f>'Forecast IS'!E8</f>
        <v>4724465.1166047938</v>
      </c>
      <c r="F31" s="94">
        <f>'Forecast IS'!F8</f>
        <v>5353222.2556521818</v>
      </c>
    </row>
    <row r="32" spans="1:6" x14ac:dyDescent="0.3">
      <c r="A32" s="85" t="s">
        <v>250</v>
      </c>
      <c r="B32" s="86">
        <f>'Forecast IS'!B9</f>
        <v>0.67359999999999998</v>
      </c>
      <c r="C32" s="86">
        <f>'Forecast IS'!C9</f>
        <v>0.67359999999999998</v>
      </c>
      <c r="D32" s="86">
        <f>'Forecast IS'!D9</f>
        <v>0.67987692307692305</v>
      </c>
      <c r="E32" s="86">
        <f>'Forecast IS'!E9</f>
        <v>0.68603313609467464</v>
      </c>
      <c r="F32" s="86">
        <f>'Forecast IS'!F9</f>
        <v>0.69207096040054616</v>
      </c>
    </row>
    <row r="33" spans="1:6" x14ac:dyDescent="0.3">
      <c r="A33" t="s">
        <v>86</v>
      </c>
      <c r="B33" s="94">
        <f>'Forecast IS'!B12</f>
        <v>493896</v>
      </c>
      <c r="C33" s="94">
        <f>'Forecast IS'!C12</f>
        <v>700752.71652492951</v>
      </c>
      <c r="D33" s="94">
        <f>'Forecast IS'!D12</f>
        <v>980901.97127347207</v>
      </c>
      <c r="E33" s="94">
        <f>'Forecast IS'!E12</f>
        <v>1309425.7930332357</v>
      </c>
      <c r="F33" s="94">
        <f>'Forecast IS'!F12</f>
        <v>1693353.3800680728</v>
      </c>
    </row>
    <row r="34" spans="1:6" x14ac:dyDescent="0.3">
      <c r="A34" s="84" t="s">
        <v>251</v>
      </c>
      <c r="B34" s="86">
        <f>'Forecast IS'!B13</f>
        <v>0.1016246913580247</v>
      </c>
      <c r="C34" s="86">
        <f>'Forecast IS'!C13</f>
        <v>0.12837233062152842</v>
      </c>
      <c r="D34" s="86">
        <f>'Forecast IS'!D13</f>
        <v>0.15998348333274209</v>
      </c>
      <c r="E34" s="86">
        <f>'Forecast IS'!E13</f>
        <v>0.19013993353884923</v>
      </c>
      <c r="F34" s="86">
        <f>'Forecast IS'!F13</f>
        <v>0.21891874539747602</v>
      </c>
    </row>
    <row r="35" spans="1:6" x14ac:dyDescent="0.3">
      <c r="A35" t="s">
        <v>88</v>
      </c>
      <c r="B35" s="94">
        <f>'Forecast IS'!B16</f>
        <v>446396</v>
      </c>
      <c r="C35" s="94">
        <f>'Forecast IS'!C16</f>
        <v>648002.71652492951</v>
      </c>
      <c r="D35" s="94">
        <f>'Forecast IS'!D16</f>
        <v>923426.97127347207</v>
      </c>
      <c r="E35" s="94">
        <f>'Forecast IS'!E16</f>
        <v>1247698.2930332357</v>
      </c>
      <c r="F35" s="94">
        <f>'Forecast IS'!F16</f>
        <v>1627798.6300680728</v>
      </c>
    </row>
    <row r="36" spans="1:6" x14ac:dyDescent="0.3">
      <c r="A36" s="84" t="s">
        <v>252</v>
      </c>
      <c r="B36" s="86">
        <f>'Forecast IS'!B17</f>
        <v>9.1851028806584356E-2</v>
      </c>
      <c r="C36" s="86">
        <f>'Forecast IS'!C17</f>
        <v>0.11870894968757136</v>
      </c>
      <c r="D36" s="86">
        <f>'Forecast IS'!D17</f>
        <v>0.15060940623448557</v>
      </c>
      <c r="E36" s="86">
        <f>'Forecast IS'!E17</f>
        <v>0.18117656745123664</v>
      </c>
      <c r="F36" s="86">
        <f>'Forecast IS'!F17</f>
        <v>0.21044374910091548</v>
      </c>
    </row>
    <row r="37" spans="1:6" x14ac:dyDescent="0.3">
      <c r="A37" t="s">
        <v>253</v>
      </c>
      <c r="B37" s="94">
        <f>'Forecast IS'!B24</f>
        <v>300297</v>
      </c>
      <c r="C37" s="94">
        <f>'Forecast IS'!C24</f>
        <v>460502.03739369713</v>
      </c>
      <c r="D37" s="94">
        <f>'Forecast IS'!D24</f>
        <v>676070.22845510405</v>
      </c>
      <c r="E37" s="94">
        <f>'Forecast IS'!E24</f>
        <v>928273.71977492678</v>
      </c>
      <c r="F37" s="94">
        <f>'Forecast IS'!F24</f>
        <v>1220848.9725510546</v>
      </c>
    </row>
    <row r="38" spans="1:6" x14ac:dyDescent="0.3">
      <c r="A38" s="84" t="s">
        <v>254</v>
      </c>
      <c r="B38" s="86">
        <f>'Forecast IS'!B25</f>
        <v>6.1789506172839508E-2</v>
      </c>
      <c r="C38" s="86">
        <f>'Forecast IS'!C25</f>
        <v>8.4360314847367515E-2</v>
      </c>
      <c r="D38" s="86">
        <f>'Forecast IS'!D25</f>
        <v>0.11026593206392449</v>
      </c>
      <c r="E38" s="86">
        <f>'Forecast IS'!E25</f>
        <v>0.13479336081734336</v>
      </c>
      <c r="F38" s="86">
        <f>'Forecast IS'!F25</f>
        <v>0.15783281182568659</v>
      </c>
    </row>
    <row r="40" spans="1:6" x14ac:dyDescent="0.3">
      <c r="A40" s="82" t="s">
        <v>255</v>
      </c>
    </row>
    <row r="41" spans="1:6" x14ac:dyDescent="0.3">
      <c r="A41" s="72" t="s">
        <v>120</v>
      </c>
      <c r="B41" s="72" t="s">
        <v>110</v>
      </c>
      <c r="C41" s="72" t="s">
        <v>111</v>
      </c>
      <c r="D41" s="72" t="s">
        <v>112</v>
      </c>
      <c r="E41" s="72" t="s">
        <v>113</v>
      </c>
      <c r="F41" s="72" t="s">
        <v>114</v>
      </c>
    </row>
    <row r="42" spans="1:6" x14ac:dyDescent="0.3">
      <c r="A42" t="s">
        <v>256</v>
      </c>
      <c r="B42" s="94">
        <f>'Forecast CF'!B7</f>
        <v>401393</v>
      </c>
      <c r="C42" s="94">
        <f>'Forecast CF'!C7</f>
        <v>516405.46459369711</v>
      </c>
      <c r="D42" s="94">
        <f>'Forecast CF'!D7</f>
        <v>735483.59489862411</v>
      </c>
      <c r="E42" s="94">
        <f>'Forecast CF'!E7</f>
        <v>992015.47096475645</v>
      </c>
      <c r="F42" s="94">
        <f>'Forecast CF'!F7</f>
        <v>1288486.6546127866</v>
      </c>
    </row>
    <row r="43" spans="1:6" x14ac:dyDescent="0.3">
      <c r="A43" t="s">
        <v>257</v>
      </c>
      <c r="B43" s="94">
        <f>'Forecast CF'!B8</f>
        <v>-100000</v>
      </c>
      <c r="C43" s="94">
        <f>'Forecast CF'!C8</f>
        <v>-100000</v>
      </c>
      <c r="D43" s="94">
        <f>'Forecast CF'!D8</f>
        <v>-100000</v>
      </c>
      <c r="E43" s="94">
        <f>'Forecast CF'!E8</f>
        <v>-100000</v>
      </c>
      <c r="F43" s="94">
        <f>'Forecast CF'!F8</f>
        <v>-100000</v>
      </c>
    </row>
    <row r="44" spans="1:6" x14ac:dyDescent="0.3">
      <c r="A44" t="s">
        <v>258</v>
      </c>
      <c r="B44" s="94">
        <f>SUM('Forecast CF'!B9:B10)</f>
        <v>319940.59999999998</v>
      </c>
      <c r="C44" s="94">
        <f>SUM('Forecast CF'!C9:C10)</f>
        <v>-212100.40747873945</v>
      </c>
      <c r="D44" s="94">
        <f>SUM('Forecast CF'!D9:D10)</f>
        <v>-255214.04569102082</v>
      </c>
      <c r="E44" s="94">
        <f>SUM('Forecast CF'!E9:E10)</f>
        <v>-305654.7439549854</v>
      </c>
      <c r="F44" s="94">
        <f>SUM('Forecast CF'!F9:F10)</f>
        <v>-344169.79451021092</v>
      </c>
    </row>
    <row r="45" spans="1:6" x14ac:dyDescent="0.3">
      <c r="A45" t="s">
        <v>259</v>
      </c>
      <c r="B45" s="94">
        <f>'DCF Valuation'!B11</f>
        <v>405893</v>
      </c>
      <c r="C45" s="94">
        <f>'DCF Valuation'!C11</f>
        <v>526905.46459369711</v>
      </c>
      <c r="D45" s="94">
        <f>'DCF Valuation'!D11</f>
        <v>731983.59489862411</v>
      </c>
      <c r="E45" s="94">
        <f>'DCF Valuation'!E11</f>
        <v>984515.47096475645</v>
      </c>
      <c r="F45" s="94">
        <f>'DCF Valuation'!F11</f>
        <v>1268486.6546127866</v>
      </c>
    </row>
    <row r="46" spans="1:6" x14ac:dyDescent="0.3">
      <c r="A46" t="s">
        <v>260</v>
      </c>
      <c r="B46" s="94">
        <f>'Forecast BS'!B4</f>
        <v>791333.6</v>
      </c>
      <c r="C46" s="94">
        <f>'Forecast BS'!C4</f>
        <v>995638.65711495769</v>
      </c>
      <c r="D46" s="94">
        <f>'Forecast BS'!D4</f>
        <v>1375908.206322561</v>
      </c>
      <c r="E46" s="94">
        <f>'Forecast BS'!E4</f>
        <v>1962268.9333323319</v>
      </c>
      <c r="F46" s="94">
        <f>'Forecast BS'!F4</f>
        <v>2806585.7934349077</v>
      </c>
    </row>
    <row r="47" spans="1:6" x14ac:dyDescent="0.3">
      <c r="B47" s="4"/>
      <c r="C47" s="4"/>
      <c r="D47" s="4"/>
      <c r="E47" s="4"/>
      <c r="F47" s="4"/>
    </row>
    <row r="48" spans="1:6" x14ac:dyDescent="0.3">
      <c r="B48" s="4"/>
      <c r="C48" s="4"/>
      <c r="D48" s="4"/>
      <c r="E48" s="4"/>
      <c r="F48" s="4"/>
    </row>
    <row r="49" spans="1:6" x14ac:dyDescent="0.3">
      <c r="A49" s="82" t="s">
        <v>261</v>
      </c>
    </row>
    <row r="50" spans="1:6" x14ac:dyDescent="0.3">
      <c r="A50" s="72" t="s">
        <v>120</v>
      </c>
      <c r="B50" s="72" t="s">
        <v>110</v>
      </c>
      <c r="C50" s="72" t="s">
        <v>111</v>
      </c>
      <c r="D50" s="72" t="s">
        <v>112</v>
      </c>
      <c r="E50" s="72" t="s">
        <v>113</v>
      </c>
      <c r="F50" s="72" t="s">
        <v>114</v>
      </c>
    </row>
    <row r="51" spans="1:6" x14ac:dyDescent="0.3">
      <c r="A51" t="s">
        <v>94</v>
      </c>
      <c r="B51" s="94">
        <f>'Forecast BS'!B4</f>
        <v>791333.6</v>
      </c>
      <c r="C51" s="94">
        <f>'Forecast BS'!C4</f>
        <v>995638.65711495769</v>
      </c>
      <c r="D51" s="94">
        <f>'Forecast BS'!D4</f>
        <v>1375908.206322561</v>
      </c>
      <c r="E51" s="94">
        <f>'Forecast BS'!E4</f>
        <v>1962268.9333323319</v>
      </c>
      <c r="F51" s="94">
        <f>'Forecast BS'!F4</f>
        <v>2806585.7934349077</v>
      </c>
    </row>
    <row r="52" spans="1:6" x14ac:dyDescent="0.3">
      <c r="A52" t="s">
        <v>262</v>
      </c>
      <c r="B52" s="94">
        <f>'Forecast BS'!B5</f>
        <v>40500</v>
      </c>
      <c r="C52" s="94">
        <f>'Forecast BS'!C5</f>
        <v>45489.599999999999</v>
      </c>
      <c r="D52" s="94">
        <f>'Forecast BS'!D5</f>
        <v>51093.918720000001</v>
      </c>
      <c r="E52" s="94">
        <f>'Forecast BS'!E5</f>
        <v>57388.689506304006</v>
      </c>
      <c r="F52" s="94">
        <f>'Forecast BS'!F5</f>
        <v>64458.976053480677</v>
      </c>
    </row>
    <row r="53" spans="1:6" x14ac:dyDescent="0.3">
      <c r="A53" t="s">
        <v>96</v>
      </c>
      <c r="B53" s="94">
        <f>'Forecast BS'!B6</f>
        <v>66096</v>
      </c>
      <c r="C53" s="94">
        <f>'Forecast BS'!C6</f>
        <v>74239.027199999997</v>
      </c>
      <c r="D53" s="94">
        <f>'Forecast BS'!D6</f>
        <v>81781.712363520011</v>
      </c>
      <c r="E53" s="94">
        <f>'Forecast BS'!E6</f>
        <v>90090.734339653645</v>
      </c>
      <c r="F53" s="94">
        <f>'Forecast BS'!F6</f>
        <v>99243.952948562481</v>
      </c>
    </row>
    <row r="54" spans="1:6" x14ac:dyDescent="0.3">
      <c r="A54" t="s">
        <v>97</v>
      </c>
      <c r="B54" s="94">
        <f>'Forecast BS'!B7</f>
        <v>427500</v>
      </c>
      <c r="C54" s="94">
        <f>'Forecast BS'!C7</f>
        <v>474750</v>
      </c>
      <c r="D54" s="94">
        <f>'Forecast BS'!D7</f>
        <v>517275</v>
      </c>
      <c r="E54" s="94">
        <f>'Forecast BS'!E7</f>
        <v>555547.5</v>
      </c>
      <c r="F54" s="94">
        <f>'Forecast BS'!F7</f>
        <v>589992.75</v>
      </c>
    </row>
    <row r="55" spans="1:6" x14ac:dyDescent="0.3">
      <c r="A55" t="s">
        <v>98</v>
      </c>
      <c r="B55" s="94">
        <f>'Forecast BS'!B8</f>
        <v>1325429.6000000001</v>
      </c>
      <c r="C55" s="94">
        <f>'Forecast BS'!C8</f>
        <v>1590117.2843149577</v>
      </c>
      <c r="D55" s="94">
        <f>'Forecast BS'!D8</f>
        <v>2026058.8374060809</v>
      </c>
      <c r="E55" s="94">
        <f>'Forecast BS'!E8</f>
        <v>2665295.8571782894</v>
      </c>
      <c r="F55" s="94">
        <f>'Forecast BS'!F8</f>
        <v>3560281.4724369505</v>
      </c>
    </row>
    <row r="56" spans="1:6" x14ac:dyDescent="0.3">
      <c r="A56" t="s">
        <v>100</v>
      </c>
      <c r="B56" s="94">
        <f>'Forecast BS'!B11</f>
        <v>460000</v>
      </c>
      <c r="C56" s="94">
        <f>'Forecast BS'!C11</f>
        <v>340000</v>
      </c>
      <c r="D56" s="94">
        <f>'Forecast BS'!D11</f>
        <v>220000</v>
      </c>
      <c r="E56" s="94">
        <f>'Forecast BS'!E11</f>
        <v>100000</v>
      </c>
      <c r="F56" s="94">
        <f>'Forecast BS'!F11</f>
        <v>0</v>
      </c>
    </row>
    <row r="57" spans="1:6" x14ac:dyDescent="0.3">
      <c r="A57" t="s">
        <v>263</v>
      </c>
      <c r="B57" s="94">
        <f>'Forecast BS'!B12</f>
        <v>733237.6</v>
      </c>
      <c r="C57" s="94">
        <f>'Forecast BS'!C12</f>
        <v>1101639.2299149577</v>
      </c>
      <c r="D57" s="94">
        <f>'Forecast BS'!D12</f>
        <v>1642495.4126790408</v>
      </c>
      <c r="E57" s="94">
        <f>'Forecast BS'!E12</f>
        <v>2385114.3884989824</v>
      </c>
      <c r="F57" s="94">
        <f>'Forecast BS'!F12</f>
        <v>3361793.5665398259</v>
      </c>
    </row>
    <row r="58" spans="1:6" x14ac:dyDescent="0.3">
      <c r="A58" t="s">
        <v>265</v>
      </c>
      <c r="B58" s="94">
        <f>'Forecast BS'!B10</f>
        <v>132192</v>
      </c>
      <c r="C58" s="94">
        <f>'Forecast BS'!C10</f>
        <v>148478.05439999999</v>
      </c>
      <c r="D58" s="94">
        <f>'Forecast BS'!D10</f>
        <v>163563.42472704002</v>
      </c>
      <c r="E58" s="94">
        <f>'Forecast BS'!E10</f>
        <v>180181.46867930729</v>
      </c>
      <c r="F58" s="94">
        <f>'Forecast BS'!F10</f>
        <v>198487.90589712496</v>
      </c>
    </row>
    <row r="59" spans="1:6" x14ac:dyDescent="0.3">
      <c r="A59" t="s">
        <v>264</v>
      </c>
      <c r="B59" s="94">
        <f>'Forecast BS'!B13</f>
        <v>1325429.6000000001</v>
      </c>
      <c r="C59" s="94">
        <f>'Forecast BS'!C13</f>
        <v>1590117.2843149577</v>
      </c>
      <c r="D59" s="94">
        <f>'Forecast BS'!D13</f>
        <v>2026058.8374060807</v>
      </c>
      <c r="E59" s="94">
        <f>'Forecast BS'!E13</f>
        <v>2665295.8571782894</v>
      </c>
      <c r="F59" s="94">
        <f>'Forecast BS'!F13</f>
        <v>3560281.472436951</v>
      </c>
    </row>
    <row r="61" spans="1:6" x14ac:dyDescent="0.3">
      <c r="A61" s="82" t="s">
        <v>51</v>
      </c>
    </row>
    <row r="62" spans="1:6" x14ac:dyDescent="0.3">
      <c r="A62" s="72" t="s">
        <v>120</v>
      </c>
      <c r="B62" s="72" t="s">
        <v>110</v>
      </c>
      <c r="C62" s="72" t="s">
        <v>111</v>
      </c>
      <c r="D62" s="72" t="s">
        <v>112</v>
      </c>
      <c r="E62" s="72" t="s">
        <v>113</v>
      </c>
      <c r="F62" s="72" t="s">
        <v>114</v>
      </c>
    </row>
    <row r="63" spans="1:6" x14ac:dyDescent="0.3">
      <c r="A63" t="s">
        <v>262</v>
      </c>
      <c r="B63" s="94">
        <f>'Working Capital'!B4</f>
        <v>40500</v>
      </c>
      <c r="C63" s="94">
        <f>'Working Capital'!C4</f>
        <v>45489.599999999999</v>
      </c>
      <c r="D63" s="94">
        <f>'Working Capital'!D4</f>
        <v>51093.918720000001</v>
      </c>
      <c r="E63" s="94">
        <f>'Working Capital'!E4</f>
        <v>57388.689506304006</v>
      </c>
      <c r="F63" s="94">
        <f>'Working Capital'!F4</f>
        <v>64458.976053480677</v>
      </c>
    </row>
    <row r="64" spans="1:6" x14ac:dyDescent="0.3">
      <c r="A64" t="s">
        <v>96</v>
      </c>
      <c r="B64" s="94">
        <f>'Working Capital'!B5</f>
        <v>66096</v>
      </c>
      <c r="C64" s="94">
        <f>'Working Capital'!C5</f>
        <v>74239.027199999997</v>
      </c>
      <c r="D64" s="94">
        <f>'Working Capital'!D5</f>
        <v>81781.712363520011</v>
      </c>
      <c r="E64" s="94">
        <f>'Working Capital'!E5</f>
        <v>90090.734339653645</v>
      </c>
      <c r="F64" s="94">
        <f>'Working Capital'!F5</f>
        <v>99243.952948562481</v>
      </c>
    </row>
    <row r="65" spans="1:6" x14ac:dyDescent="0.3">
      <c r="A65" t="s">
        <v>265</v>
      </c>
      <c r="B65" s="94">
        <f>'Working Capital'!B6</f>
        <v>132192</v>
      </c>
      <c r="C65" s="94">
        <f>'Working Capital'!C6</f>
        <v>148478.05439999999</v>
      </c>
      <c r="D65" s="94">
        <f>'Working Capital'!D6</f>
        <v>163563.42472704002</v>
      </c>
      <c r="E65" s="94">
        <f>'Working Capital'!E6</f>
        <v>180181.46867930729</v>
      </c>
      <c r="F65" s="94">
        <f>'Working Capital'!F6</f>
        <v>198487.90589712496</v>
      </c>
    </row>
    <row r="66" spans="1:6" x14ac:dyDescent="0.3">
      <c r="A66" t="s">
        <v>266</v>
      </c>
      <c r="B66" s="94">
        <f>'Working Capital'!B8</f>
        <v>-25596</v>
      </c>
      <c r="C66" s="94">
        <f>'Working Capital'!C8</f>
        <v>-28749.427200000006</v>
      </c>
      <c r="D66" s="94">
        <f>'Working Capital'!D8</f>
        <v>-30687.79364352001</v>
      </c>
      <c r="E66" s="94">
        <f>'Working Capital'!E8</f>
        <v>-32702.044833349646</v>
      </c>
      <c r="F66" s="94">
        <f>'Working Capital'!F8</f>
        <v>-34784.976895081811</v>
      </c>
    </row>
    <row r="67" spans="1:6" x14ac:dyDescent="0.3">
      <c r="A67" t="s">
        <v>267</v>
      </c>
      <c r="B67" s="94">
        <f>'Working Capital'!B9</f>
        <v>-53596</v>
      </c>
      <c r="C67" s="94">
        <f>'Working Capital'!C9</f>
        <v>-3153.4272000000055</v>
      </c>
      <c r="D67" s="94">
        <f>'Working Capital'!D9</f>
        <v>-1938.3664435200044</v>
      </c>
      <c r="E67" s="94">
        <f>'Working Capital'!E9</f>
        <v>-2014.2511898296361</v>
      </c>
      <c r="F67" s="94">
        <f>'Working Capital'!F9</f>
        <v>-2082.9320617321646</v>
      </c>
    </row>
    <row r="69" spans="1:6" x14ac:dyDescent="0.3">
      <c r="A69" s="82" t="s">
        <v>268</v>
      </c>
    </row>
    <row r="70" spans="1:6" x14ac:dyDescent="0.3">
      <c r="A70" s="72" t="s">
        <v>120</v>
      </c>
      <c r="B70" s="72" t="s">
        <v>110</v>
      </c>
      <c r="C70" s="72" t="s">
        <v>111</v>
      </c>
      <c r="D70" s="72" t="s">
        <v>112</v>
      </c>
      <c r="E70" s="72" t="s">
        <v>113</v>
      </c>
      <c r="F70" s="72" t="s">
        <v>114</v>
      </c>
    </row>
    <row r="71" spans="1:6" x14ac:dyDescent="0.3">
      <c r="A71" t="s">
        <v>176</v>
      </c>
      <c r="B71" s="58">
        <f>Capex!B11</f>
        <v>100000</v>
      </c>
      <c r="C71" s="58">
        <f>Capex!C11</f>
        <v>100000</v>
      </c>
      <c r="D71" s="58">
        <f>Capex!D11</f>
        <v>100000</v>
      </c>
      <c r="E71" s="58">
        <f>Capex!E11</f>
        <v>100000</v>
      </c>
      <c r="F71" s="58">
        <f>Capex!F11</f>
        <v>100000</v>
      </c>
    </row>
    <row r="72" spans="1:6" x14ac:dyDescent="0.3">
      <c r="A72" t="s">
        <v>87</v>
      </c>
      <c r="B72" s="58">
        <f>Depreciation!B6</f>
        <v>47500</v>
      </c>
      <c r="C72" s="58">
        <f>Depreciation!C6</f>
        <v>52750</v>
      </c>
      <c r="D72" s="58">
        <f>Depreciation!D6</f>
        <v>57475</v>
      </c>
      <c r="E72" s="58">
        <f>Depreciation!E6</f>
        <v>61727.5</v>
      </c>
      <c r="F72" s="58">
        <f>Depreciation!F6</f>
        <v>65554.75</v>
      </c>
    </row>
    <row r="73" spans="1:6" x14ac:dyDescent="0.3">
      <c r="A73" t="s">
        <v>97</v>
      </c>
      <c r="B73" s="58">
        <f>Depreciation!B7</f>
        <v>427500</v>
      </c>
      <c r="C73" s="58">
        <f>Depreciation!C7</f>
        <v>474750</v>
      </c>
      <c r="D73" s="58">
        <f>Depreciation!D7</f>
        <v>517275</v>
      </c>
      <c r="E73" s="58">
        <f>Depreciation!E7</f>
        <v>555547.5</v>
      </c>
      <c r="F73" s="58">
        <f>Depreciation!F7</f>
        <v>589992.75</v>
      </c>
    </row>
    <row r="75" spans="1:6" x14ac:dyDescent="0.3">
      <c r="A75" s="82" t="s">
        <v>269</v>
      </c>
    </row>
    <row r="76" spans="1:6" x14ac:dyDescent="0.3">
      <c r="A76" s="72" t="s">
        <v>120</v>
      </c>
      <c r="B76" s="72" t="s">
        <v>110</v>
      </c>
      <c r="C76" s="72" t="s">
        <v>111</v>
      </c>
      <c r="D76" s="72" t="s">
        <v>112</v>
      </c>
      <c r="E76" s="72" t="s">
        <v>113</v>
      </c>
      <c r="F76" s="72" t="s">
        <v>114</v>
      </c>
    </row>
    <row r="77" spans="1:6" x14ac:dyDescent="0.3">
      <c r="A77" t="s">
        <v>270</v>
      </c>
      <c r="B77" s="94">
        <f>Debt!B5</f>
        <v>80000</v>
      </c>
      <c r="C77" s="94">
        <f>Debt!C5+Debt!C11</f>
        <v>460000</v>
      </c>
      <c r="D77" s="94">
        <f>Debt!D5+Debt!D11</f>
        <v>340000</v>
      </c>
      <c r="E77" s="94">
        <f>Debt!E5+Debt!E11</f>
        <v>220000</v>
      </c>
      <c r="F77" s="94">
        <f>Debt!F5+Debt!F11</f>
        <v>100000</v>
      </c>
    </row>
    <row r="78" spans="1:6" x14ac:dyDescent="0.3">
      <c r="A78" t="s">
        <v>271</v>
      </c>
      <c r="B78" s="94">
        <f>Debt!B11</f>
        <v>500000</v>
      </c>
      <c r="C78" s="94"/>
      <c r="D78" s="94"/>
      <c r="E78" s="94"/>
      <c r="F78" s="94"/>
    </row>
    <row r="79" spans="1:6" x14ac:dyDescent="0.3">
      <c r="A79" t="s">
        <v>272</v>
      </c>
      <c r="B79" s="94">
        <f>Debt!B12+Debt!B6</f>
        <v>120000</v>
      </c>
      <c r="C79" s="94">
        <f>Debt!C12+Debt!C6</f>
        <v>120000</v>
      </c>
      <c r="D79" s="94">
        <f>Debt!D12+Debt!D6</f>
        <v>120000</v>
      </c>
      <c r="E79" s="94">
        <f>Debt!E12+Debt!E6</f>
        <v>120000</v>
      </c>
      <c r="F79" s="94">
        <f>Debt!F12+Debt!F6</f>
        <v>100000</v>
      </c>
    </row>
    <row r="80" spans="1:6" x14ac:dyDescent="0.3">
      <c r="A80" t="s">
        <v>273</v>
      </c>
      <c r="B80" s="94">
        <f>'Forecast BS'!B11</f>
        <v>460000</v>
      </c>
      <c r="C80" s="94">
        <f>'Forecast BS'!C11</f>
        <v>340000</v>
      </c>
      <c r="D80" s="94">
        <f>'Forecast BS'!D11</f>
        <v>220000</v>
      </c>
      <c r="E80" s="94">
        <f>'Forecast BS'!E11</f>
        <v>100000</v>
      </c>
      <c r="F80" s="94">
        <f>'Forecast BS'!F11</f>
        <v>0</v>
      </c>
    </row>
    <row r="81" spans="1:6" x14ac:dyDescent="0.3">
      <c r="A81" t="s">
        <v>274</v>
      </c>
      <c r="B81" s="94">
        <f>'Forecast IS'!B18</f>
        <v>46000</v>
      </c>
      <c r="C81" s="94">
        <f>'Forecast IS'!C18</f>
        <v>34000</v>
      </c>
      <c r="D81" s="94">
        <f>'Forecast IS'!D18</f>
        <v>22000</v>
      </c>
      <c r="E81" s="94">
        <f>'Forecast IS'!E18</f>
        <v>10000</v>
      </c>
      <c r="F81" s="94">
        <f>'Forecast IS'!F18</f>
        <v>0</v>
      </c>
    </row>
    <row r="83" spans="1:6" x14ac:dyDescent="0.3">
      <c r="A83" s="82" t="s">
        <v>275</v>
      </c>
    </row>
    <row r="84" spans="1:6" x14ac:dyDescent="0.3">
      <c r="A84" s="72" t="s">
        <v>120</v>
      </c>
      <c r="B84" s="72" t="s">
        <v>2</v>
      </c>
    </row>
    <row r="85" spans="1:6" x14ac:dyDescent="0.3">
      <c r="A85" t="s">
        <v>276</v>
      </c>
      <c r="B85" s="94">
        <f>'Detailed Report'!$E$7</f>
        <v>2648912.5134955673</v>
      </c>
    </row>
    <row r="86" spans="1:6" x14ac:dyDescent="0.3">
      <c r="A86" t="s">
        <v>277</v>
      </c>
      <c r="B86" s="94">
        <f>'Detailed Report'!$E$9</f>
        <v>8354512.6083242847</v>
      </c>
    </row>
    <row r="87" spans="1:6" x14ac:dyDescent="0.3">
      <c r="A87" t="s">
        <v>165</v>
      </c>
      <c r="B87" s="94">
        <f>'Detailed Report'!$E$10</f>
        <v>11003425.121819852</v>
      </c>
    </row>
    <row r="88" spans="1:6" x14ac:dyDescent="0.3">
      <c r="A88" t="s">
        <v>278</v>
      </c>
      <c r="B88" s="94">
        <f>'Detailed Report'!$E$11</f>
        <v>80000</v>
      </c>
    </row>
    <row r="89" spans="1:6" x14ac:dyDescent="0.3">
      <c r="A89" t="s">
        <v>279</v>
      </c>
      <c r="B89" s="94">
        <f>'Detailed Report'!$E$12</f>
        <v>170000</v>
      </c>
    </row>
    <row r="90" spans="1:6" x14ac:dyDescent="0.3">
      <c r="A90" t="s">
        <v>167</v>
      </c>
      <c r="B90" s="94">
        <f>'Detailed Report'!$E$14</f>
        <v>11093425.121819852</v>
      </c>
    </row>
    <row r="95" spans="1:6" x14ac:dyDescent="0.3">
      <c r="A95" s="82" t="s">
        <v>280</v>
      </c>
    </row>
    <row r="96" spans="1:6" x14ac:dyDescent="0.3">
      <c r="A96" s="72" t="s">
        <v>281</v>
      </c>
      <c r="B96" s="72" t="s">
        <v>110</v>
      </c>
      <c r="C96" s="72" t="s">
        <v>111</v>
      </c>
      <c r="D96" s="72" t="s">
        <v>112</v>
      </c>
      <c r="E96" s="72" t="s">
        <v>113</v>
      </c>
      <c r="F96" s="72" t="s">
        <v>114</v>
      </c>
    </row>
    <row r="97" spans="1:6" x14ac:dyDescent="0.3">
      <c r="A97" t="s">
        <v>282</v>
      </c>
      <c r="B97" s="1">
        <f>SUM('Forecast BS'!B4:B6)/'Forecast BS'!B10</f>
        <v>6.7926167998063418</v>
      </c>
      <c r="C97" s="1">
        <f>SUM('Forecast BS'!C4:C6)/'Forecast BS'!C10</f>
        <v>7.512000940624918</v>
      </c>
      <c r="D97" s="1">
        <f>SUM('Forecast BS'!D4:D6)/'Forecast BS'!D10</f>
        <v>9.2244573621761017</v>
      </c>
      <c r="E97" s="1">
        <f>SUM('Forecast BS'!E4:E6)/'Forecast BS'!E10</f>
        <v>11.709019649147642</v>
      </c>
      <c r="F97" s="1">
        <f>SUM('Forecast BS'!F4:F6)/'Forecast BS'!F10</f>
        <v>14.964582899959822</v>
      </c>
    </row>
    <row r="98" spans="1:6" x14ac:dyDescent="0.3">
      <c r="A98" t="s">
        <v>283</v>
      </c>
      <c r="B98" s="1">
        <f>'Forecast BS'!B11/'Forecast BS'!B12</f>
        <v>0.62735462556748323</v>
      </c>
      <c r="C98" s="1">
        <f>'Forecast BS'!C11/'Forecast BS'!C12</f>
        <v>0.30863098441605669</v>
      </c>
      <c r="D98" s="1">
        <f>'Forecast BS'!D11/'Forecast BS'!D12</f>
        <v>0.13394253542611878</v>
      </c>
      <c r="E98" s="1">
        <f>'Forecast BS'!E11/'Forecast BS'!E12</f>
        <v>4.1926710300436675E-2</v>
      </c>
      <c r="F98" s="1">
        <f>'Forecast BS'!F11/'Forecast BS'!F12</f>
        <v>0</v>
      </c>
    </row>
    <row r="99" spans="1:6" x14ac:dyDescent="0.3">
      <c r="A99" t="s">
        <v>284</v>
      </c>
      <c r="B99" s="1">
        <f>'Forecast BS'!B11/'Forecast IS'!B12</f>
        <v>0.93137016699872033</v>
      </c>
      <c r="C99" s="1">
        <f>'Forecast BS'!C11/'Forecast IS'!C12</f>
        <v>0.4851925536387191</v>
      </c>
      <c r="D99" s="1">
        <f>'Forecast BS'!D11/'Forecast IS'!D12</f>
        <v>0.22428337024787645</v>
      </c>
      <c r="E99" s="1">
        <f>'Forecast BS'!E11/'Forecast IS'!E12</f>
        <v>7.6369352529977091E-2</v>
      </c>
      <c r="F99" s="1">
        <f>'Forecast BS'!F11/'Forecast IS'!F12</f>
        <v>0</v>
      </c>
    </row>
    <row r="100" spans="1:6" x14ac:dyDescent="0.3">
      <c r="A100" t="s">
        <v>285</v>
      </c>
      <c r="B100" s="54">
        <f>'Forecast IS'!B24/'Forecast BS'!B8</f>
        <v>0.22656578667022373</v>
      </c>
      <c r="C100" s="54">
        <f>'Forecast IS'!C24/'Forecast BS'!C8</f>
        <v>0.28960256072688823</v>
      </c>
      <c r="D100" s="54">
        <f>'Forecast IS'!D24/'Forecast BS'!D8</f>
        <v>0.3336873618737855</v>
      </c>
      <c r="E100" s="54">
        <f>'Forecast IS'!E24/'Forecast BS'!E8</f>
        <v>0.34828168035261831</v>
      </c>
      <c r="F100" s="54">
        <f>'Forecast IS'!F24/'Forecast BS'!F8</f>
        <v>0.34290799252886167</v>
      </c>
    </row>
    <row r="101" spans="1:6" x14ac:dyDescent="0.3">
      <c r="A101" t="s">
        <v>286</v>
      </c>
      <c r="B101" s="54">
        <f>'Forecast IS'!B24/'Forecast BS'!B12</f>
        <v>0.40954937390008372</v>
      </c>
      <c r="C101" s="54">
        <f>'Forecast IS'!C24/'Forecast BS'!C12</f>
        <v>0.41801528566593088</v>
      </c>
      <c r="D101" s="54">
        <f>'Forecast IS'!D24/'Forecast BS'!D12</f>
        <v>0.41161163875178175</v>
      </c>
      <c r="E101" s="54">
        <f>'Forecast IS'!E24/'Forecast BS'!E12</f>
        <v>0.38919463328512088</v>
      </c>
      <c r="F101" s="54">
        <f>'Forecast IS'!F24/'Forecast BS'!F12</f>
        <v>0.36315405701951853</v>
      </c>
    </row>
    <row r="102" spans="1:6" x14ac:dyDescent="0.3">
      <c r="A102" t="s">
        <v>287</v>
      </c>
      <c r="B102" s="1">
        <f>'Forecast IS'!B4/'Forecast BS'!B8</f>
        <v>3.6667356757386433</v>
      </c>
      <c r="C102" s="1">
        <f>'Forecast IS'!C4/'Forecast BS'!C8</f>
        <v>3.4329241332356806</v>
      </c>
      <c r="D102" s="1">
        <f>'Forecast IS'!D4/'Forecast BS'!D8</f>
        <v>3.0262054256280795</v>
      </c>
      <c r="E102" s="1">
        <f>'Forecast IS'!E4/'Forecast BS'!E8</f>
        <v>2.583819249262358</v>
      </c>
      <c r="F102" s="1">
        <f>'Forecast IS'!F4/'Forecast BS'!F8</f>
        <v>2.1726026962478211</v>
      </c>
    </row>
    <row r="103" spans="1:6" x14ac:dyDescent="0.3">
      <c r="A103" t="s">
        <v>288</v>
      </c>
      <c r="B103" s="1">
        <f>'Forecast IS'!B16/'Forecast IS'!B18</f>
        <v>9.7042608695652177</v>
      </c>
      <c r="C103" s="1">
        <f>'Forecast IS'!C16/'Forecast IS'!C18</f>
        <v>19.058903427203809</v>
      </c>
      <c r="D103" s="1">
        <f>'Forecast IS'!D16/'Forecast IS'!D18</f>
        <v>41.973953239703278</v>
      </c>
      <c r="E103" s="1">
        <f>'Forecast IS'!E16/'Forecast IS'!E18</f>
        <v>124.76982930332358</v>
      </c>
      <c r="F103" s="1">
        <v>0</v>
      </c>
    </row>
    <row r="104" spans="1:6" x14ac:dyDescent="0.3">
      <c r="A104" t="s">
        <v>289</v>
      </c>
      <c r="B104">
        <f>'Forecast IS'!B6/'Forecast BS'!B6</f>
        <v>24</v>
      </c>
      <c r="C104">
        <f>'Forecast IS'!C6/'Forecast BS'!C6</f>
        <v>24</v>
      </c>
      <c r="D104">
        <f>'Forecast IS'!D6/'Forecast BS'!D6</f>
        <v>24</v>
      </c>
      <c r="E104">
        <f>'Forecast IS'!E6/'Forecast BS'!E6</f>
        <v>24</v>
      </c>
      <c r="F104">
        <f>'Forecast IS'!F6/'Forecast BS'!F6</f>
        <v>24.000000000000004</v>
      </c>
    </row>
    <row r="105" spans="1:6" x14ac:dyDescent="0.3">
      <c r="A105" t="s">
        <v>52</v>
      </c>
      <c r="B105">
        <f>('Forecast BS'!B5/'Forecast IS'!B4)*360</f>
        <v>3</v>
      </c>
      <c r="C105">
        <f>('Forecast BS'!C5/'Forecast IS'!C4)*360</f>
        <v>3</v>
      </c>
      <c r="D105">
        <f>('Forecast BS'!D5/'Forecast IS'!D4)*360</f>
        <v>3</v>
      </c>
      <c r="E105">
        <f>('Forecast BS'!E5/'Forecast IS'!E4)*360</f>
        <v>3</v>
      </c>
      <c r="F105">
        <f>('Forecast BS'!F5/'Forecast IS'!F4)*360</f>
        <v>3</v>
      </c>
    </row>
    <row r="106" spans="1:6" x14ac:dyDescent="0.3">
      <c r="A106" t="s">
        <v>54</v>
      </c>
      <c r="B106">
        <f>('Forecast BS'!B10/'Forecast IS'!B6)*360</f>
        <v>30</v>
      </c>
      <c r="C106">
        <f>('Forecast BS'!C10/'Forecast IS'!C6)*360</f>
        <v>30</v>
      </c>
      <c r="D106">
        <f>('Forecast BS'!D10/'Forecast IS'!D6)*360</f>
        <v>30</v>
      </c>
      <c r="E106">
        <f>('Forecast BS'!E10/'Forecast IS'!E6)*360</f>
        <v>30</v>
      </c>
      <c r="F106">
        <f>('Forecast BS'!F10/'Forecast IS'!F6)*360</f>
        <v>30</v>
      </c>
    </row>
    <row r="108" spans="1:6" x14ac:dyDescent="0.3">
      <c r="A108" s="82" t="s">
        <v>290</v>
      </c>
    </row>
    <row r="109" spans="1:6" x14ac:dyDescent="0.3">
      <c r="A109" s="93" t="s">
        <v>1</v>
      </c>
      <c r="B109" s="93" t="s">
        <v>2</v>
      </c>
    </row>
    <row r="110" spans="1:6" x14ac:dyDescent="0.3">
      <c r="A110" s="91" t="s">
        <v>17</v>
      </c>
      <c r="B110" s="89" t="str">
        <f>Assumptions!C13</f>
        <v>12%</v>
      </c>
    </row>
    <row r="111" spans="1:6" x14ac:dyDescent="0.3">
      <c r="A111" s="91" t="s">
        <v>291</v>
      </c>
      <c r="B111" s="89">
        <f>Assumptions!C23</f>
        <v>0.04</v>
      </c>
    </row>
    <row r="112" spans="1:6" x14ac:dyDescent="0.3">
      <c r="A112" s="91" t="s">
        <v>292</v>
      </c>
      <c r="B112" s="89" t="str">
        <f>Assumptions!C35</f>
        <v>8%</v>
      </c>
    </row>
    <row r="113" spans="1:2" x14ac:dyDescent="0.3">
      <c r="A113" s="91" t="s">
        <v>312</v>
      </c>
      <c r="B113" s="68">
        <f>5%</f>
        <v>0.05</v>
      </c>
    </row>
    <row r="114" spans="1:2" x14ac:dyDescent="0.3">
      <c r="A114" s="91" t="s">
        <v>293</v>
      </c>
      <c r="B114" s="89" t="str">
        <f>Assumptions!C64</f>
        <v>25%</v>
      </c>
    </row>
    <row r="115" spans="1:2" x14ac:dyDescent="0.3">
      <c r="A115" s="91" t="s">
        <v>64</v>
      </c>
      <c r="B115" s="89" t="str">
        <f>Assumptions!C60</f>
        <v>10%</v>
      </c>
    </row>
    <row r="116" spans="1:2" x14ac:dyDescent="0.3">
      <c r="A116" s="91" t="s">
        <v>76</v>
      </c>
      <c r="B116" s="89" t="str">
        <f>Assumptions!C68</f>
        <v>12%</v>
      </c>
    </row>
    <row r="117" spans="1:2" x14ac:dyDescent="0.3">
      <c r="A117" s="91" t="s">
        <v>247</v>
      </c>
      <c r="B117" s="89" t="str">
        <f>Assumptions!C69</f>
        <v>4%</v>
      </c>
    </row>
    <row r="119" spans="1:2" x14ac:dyDescent="0.3">
      <c r="A119" s="82" t="s">
        <v>294</v>
      </c>
    </row>
    <row r="120" spans="1:2" x14ac:dyDescent="0.3">
      <c r="A120" s="72" t="s">
        <v>295</v>
      </c>
      <c r="B120" s="72" t="s">
        <v>296</v>
      </c>
    </row>
    <row r="121" spans="1:2" x14ac:dyDescent="0.3">
      <c r="A121" t="s">
        <v>297</v>
      </c>
      <c r="B121" t="s">
        <v>313</v>
      </c>
    </row>
    <row r="122" spans="1:2" x14ac:dyDescent="0.3">
      <c r="A122" t="s">
        <v>298</v>
      </c>
      <c r="B122" t="s">
        <v>313</v>
      </c>
    </row>
    <row r="123" spans="1:2" x14ac:dyDescent="0.3">
      <c r="A123" t="s">
        <v>299</v>
      </c>
      <c r="B123" t="s">
        <v>313</v>
      </c>
    </row>
    <row r="124" spans="1:2" x14ac:dyDescent="0.3">
      <c r="A124" t="s">
        <v>300</v>
      </c>
      <c r="B124" t="s">
        <v>313</v>
      </c>
    </row>
    <row r="125" spans="1:2" x14ac:dyDescent="0.3">
      <c r="A125" t="s">
        <v>301</v>
      </c>
      <c r="B125" t="s">
        <v>313</v>
      </c>
    </row>
    <row r="126" spans="1:2" x14ac:dyDescent="0.3">
      <c r="A126" t="s">
        <v>302</v>
      </c>
      <c r="B126" t="s">
        <v>313</v>
      </c>
    </row>
    <row r="127" spans="1:2" x14ac:dyDescent="0.3">
      <c r="A127" t="s">
        <v>303</v>
      </c>
      <c r="B127" t="s">
        <v>313</v>
      </c>
    </row>
    <row r="129" spans="1:2" x14ac:dyDescent="0.3">
      <c r="A129" s="82" t="s">
        <v>304</v>
      </c>
    </row>
    <row r="130" spans="1:2" x14ac:dyDescent="0.3">
      <c r="A130" s="72" t="s">
        <v>125</v>
      </c>
      <c r="B130" s="72" t="s">
        <v>305</v>
      </c>
    </row>
    <row r="131" spans="1:2" x14ac:dyDescent="0.3">
      <c r="A131" t="s">
        <v>306</v>
      </c>
      <c r="B131" t="s">
        <v>314</v>
      </c>
    </row>
    <row r="132" spans="1:2" x14ac:dyDescent="0.3">
      <c r="A132" t="s">
        <v>307</v>
      </c>
      <c r="B132" t="s">
        <v>315</v>
      </c>
    </row>
    <row r="133" spans="1:2" x14ac:dyDescent="0.3">
      <c r="A133" t="s">
        <v>308</v>
      </c>
      <c r="B133" t="s">
        <v>315</v>
      </c>
    </row>
    <row r="134" spans="1:2" x14ac:dyDescent="0.3">
      <c r="A134" t="s">
        <v>309</v>
      </c>
      <c r="B134" t="s">
        <v>315</v>
      </c>
    </row>
    <row r="135" spans="1:2" x14ac:dyDescent="0.3">
      <c r="A135" t="s">
        <v>310</v>
      </c>
      <c r="B135" t="s">
        <v>316</v>
      </c>
    </row>
    <row r="136" spans="1:2" x14ac:dyDescent="0.3">
      <c r="A136" t="s">
        <v>318</v>
      </c>
      <c r="B136" s="95">
        <v>11000000</v>
      </c>
    </row>
    <row r="137" spans="1:2" x14ac:dyDescent="0.3">
      <c r="A137" t="s">
        <v>311</v>
      </c>
      <c r="B137" t="s">
        <v>317</v>
      </c>
    </row>
  </sheetData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4E9F-3349-43B5-AADA-250B5D9C51B8}">
  <dimension ref="C3:I14"/>
  <sheetViews>
    <sheetView showGridLines="0" zoomScale="94" zoomScaleNormal="94" workbookViewId="0">
      <selection activeCell="AL99" sqref="AL99"/>
    </sheetView>
  </sheetViews>
  <sheetFormatPr defaultRowHeight="14.4" x14ac:dyDescent="0.3"/>
  <cols>
    <col min="4" max="4" width="15.6640625" bestFit="1" customWidth="1"/>
    <col min="5" max="5" width="14.77734375" bestFit="1" customWidth="1"/>
  </cols>
  <sheetData>
    <row r="3" spans="3:9" ht="21" x14ac:dyDescent="0.4">
      <c r="C3" s="97" t="s">
        <v>184</v>
      </c>
      <c r="D3" s="97"/>
      <c r="E3" s="97"/>
      <c r="F3" s="97"/>
      <c r="G3" s="64"/>
      <c r="H3" s="64"/>
      <c r="I3" s="64"/>
    </row>
    <row r="4" spans="3:9" x14ac:dyDescent="0.3">
      <c r="C4" s="96" t="s">
        <v>196</v>
      </c>
      <c r="D4" s="96"/>
      <c r="E4" s="96"/>
      <c r="F4" s="96"/>
      <c r="G4" s="56"/>
      <c r="H4" s="56"/>
      <c r="I4" s="56"/>
    </row>
    <row r="6" spans="3:9" ht="15.6" customHeight="1" x14ac:dyDescent="0.3">
      <c r="D6" s="30" t="s">
        <v>168</v>
      </c>
      <c r="E6" s="30" t="s">
        <v>169</v>
      </c>
    </row>
    <row r="7" spans="3:9" ht="15.6" customHeight="1" x14ac:dyDescent="0.3">
      <c r="D7" s="28" t="s">
        <v>162</v>
      </c>
      <c r="E7" s="29">
        <f>SUM('DCF Valuation'!B14:F14)</f>
        <v>2648912.5134955673</v>
      </c>
    </row>
    <row r="8" spans="3:9" ht="15.6" customHeight="1" x14ac:dyDescent="0.3">
      <c r="D8" s="28" t="s">
        <v>163</v>
      </c>
      <c r="E8" s="29">
        <f>'DCF Valuation'!F11*1.04/(12%-4%)</f>
        <v>16490326.50996623</v>
      </c>
    </row>
    <row r="9" spans="3:9" x14ac:dyDescent="0.3">
      <c r="D9" s="28" t="s">
        <v>164</v>
      </c>
      <c r="E9" s="29">
        <f>E8*'DCF Valuation'!G12</f>
        <v>8354512.6083242847</v>
      </c>
    </row>
    <row r="10" spans="3:9" x14ac:dyDescent="0.3">
      <c r="D10" s="28" t="s">
        <v>165</v>
      </c>
      <c r="E10" s="29">
        <f>E9+E7</f>
        <v>11003425.121819852</v>
      </c>
    </row>
    <row r="11" spans="3:9" x14ac:dyDescent="0.3">
      <c r="D11" s="28" t="s">
        <v>166</v>
      </c>
      <c r="E11" s="29">
        <f>'Historical FS'!D24</f>
        <v>80000</v>
      </c>
    </row>
    <row r="12" spans="3:9" x14ac:dyDescent="0.3">
      <c r="D12" s="28" t="s">
        <v>94</v>
      </c>
      <c r="E12" s="29">
        <f>'Historical FS'!D18</f>
        <v>170000</v>
      </c>
    </row>
    <row r="14" spans="3:9" x14ac:dyDescent="0.3">
      <c r="D14" s="57" t="s">
        <v>167</v>
      </c>
      <c r="E14" s="57">
        <f>E10-E11+E12</f>
        <v>11093425.121819852</v>
      </c>
    </row>
  </sheetData>
  <mergeCells count="2">
    <mergeCell ref="C4:F4"/>
    <mergeCell ref="C3:F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CCF0-94F9-4F87-A497-BECA6C3ABAD3}">
  <dimension ref="B1:J21"/>
  <sheetViews>
    <sheetView showGridLines="0" workbookViewId="0">
      <selection activeCell="B3" sqref="B3:B6"/>
    </sheetView>
  </sheetViews>
  <sheetFormatPr defaultRowHeight="14.4" x14ac:dyDescent="0.3"/>
  <cols>
    <col min="2" max="2" width="26.6640625" customWidth="1"/>
    <col min="3" max="3" width="10.109375" customWidth="1"/>
    <col min="10" max="10" width="6.88671875" customWidth="1"/>
  </cols>
  <sheetData>
    <row r="1" spans="2:10" ht="21" x14ac:dyDescent="0.4">
      <c r="B1" s="42" t="s">
        <v>234</v>
      </c>
    </row>
    <row r="3" spans="2:10" x14ac:dyDescent="0.3">
      <c r="B3" s="70" t="s">
        <v>233</v>
      </c>
    </row>
    <row r="4" spans="2:10" x14ac:dyDescent="0.3">
      <c r="B4" t="s">
        <v>232</v>
      </c>
    </row>
    <row r="5" spans="2:10" x14ac:dyDescent="0.3">
      <c r="B5" t="s">
        <v>235</v>
      </c>
    </row>
    <row r="6" spans="2:10" x14ac:dyDescent="0.3">
      <c r="B6" t="s">
        <v>236</v>
      </c>
    </row>
    <row r="8" spans="2:10" x14ac:dyDescent="0.3">
      <c r="B8" s="73" t="s">
        <v>208</v>
      </c>
      <c r="C8" s="98" t="s">
        <v>209</v>
      </c>
      <c r="D8" s="98"/>
      <c r="E8" s="98"/>
      <c r="F8" s="98"/>
      <c r="G8" s="98"/>
      <c r="H8" s="98"/>
      <c r="I8" s="98"/>
      <c r="J8" s="99"/>
    </row>
    <row r="9" spans="2:10" x14ac:dyDescent="0.3">
      <c r="B9" s="79" t="s">
        <v>210</v>
      </c>
      <c r="C9" s="19" t="s">
        <v>237</v>
      </c>
      <c r="J9" s="74"/>
    </row>
    <row r="10" spans="2:10" x14ac:dyDescent="0.3">
      <c r="B10" s="79" t="s">
        <v>211</v>
      </c>
      <c r="C10" s="19" t="s">
        <v>212</v>
      </c>
      <c r="J10" s="74"/>
    </row>
    <row r="11" spans="2:10" x14ac:dyDescent="0.3">
      <c r="B11" s="79" t="s">
        <v>213</v>
      </c>
      <c r="C11" s="19" t="s">
        <v>214</v>
      </c>
      <c r="J11" s="74"/>
    </row>
    <row r="12" spans="2:10" x14ac:dyDescent="0.3">
      <c r="B12" s="79" t="s">
        <v>215</v>
      </c>
      <c r="C12" s="19" t="s">
        <v>216</v>
      </c>
      <c r="J12" s="74"/>
    </row>
    <row r="13" spans="2:10" x14ac:dyDescent="0.3">
      <c r="B13" s="79" t="s">
        <v>217</v>
      </c>
      <c r="C13" s="19" t="s">
        <v>218</v>
      </c>
      <c r="J13" s="74"/>
    </row>
    <row r="14" spans="2:10" x14ac:dyDescent="0.3">
      <c r="B14" s="79" t="s">
        <v>6</v>
      </c>
      <c r="C14" s="19" t="s">
        <v>219</v>
      </c>
      <c r="J14" s="74"/>
    </row>
    <row r="15" spans="2:10" x14ac:dyDescent="0.3">
      <c r="B15" s="79" t="s">
        <v>220</v>
      </c>
      <c r="C15" s="19" t="s">
        <v>221</v>
      </c>
      <c r="J15" s="74"/>
    </row>
    <row r="16" spans="2:10" x14ac:dyDescent="0.3">
      <c r="B16" s="79" t="s">
        <v>222</v>
      </c>
      <c r="C16" s="19" t="s">
        <v>223</v>
      </c>
      <c r="J16" s="74"/>
    </row>
    <row r="17" spans="2:10" x14ac:dyDescent="0.3">
      <c r="B17" s="79" t="s">
        <v>224</v>
      </c>
      <c r="C17" s="75">
        <v>45747</v>
      </c>
      <c r="J17" s="74"/>
    </row>
    <row r="18" spans="2:10" x14ac:dyDescent="0.3">
      <c r="B18" s="79" t="s">
        <v>225</v>
      </c>
      <c r="C18" s="19" t="s">
        <v>226</v>
      </c>
      <c r="J18" s="74"/>
    </row>
    <row r="19" spans="2:10" x14ac:dyDescent="0.3">
      <c r="B19" s="79" t="s">
        <v>227</v>
      </c>
      <c r="C19" s="19" t="s">
        <v>228</v>
      </c>
      <c r="J19" s="74"/>
    </row>
    <row r="20" spans="2:10" x14ac:dyDescent="0.3">
      <c r="B20" s="79" t="s">
        <v>229</v>
      </c>
      <c r="C20" s="19" t="s">
        <v>230</v>
      </c>
      <c r="J20" s="74"/>
    </row>
    <row r="21" spans="2:10" x14ac:dyDescent="0.3">
      <c r="B21" s="80" t="s">
        <v>231</v>
      </c>
      <c r="C21" s="76" t="s">
        <v>219</v>
      </c>
      <c r="D21" s="77"/>
      <c r="E21" s="77"/>
      <c r="F21" s="77"/>
      <c r="G21" s="77"/>
      <c r="H21" s="77"/>
      <c r="I21" s="77"/>
      <c r="J21" s="78"/>
    </row>
  </sheetData>
  <mergeCells count="1">
    <mergeCell ref="C8:J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showGridLines="0" workbookViewId="0">
      <pane ySplit="3" topLeftCell="A58" activePane="bottomLeft" state="frozen"/>
      <selection pane="bottomLeft" activeCell="H14" sqref="H14"/>
    </sheetView>
  </sheetViews>
  <sheetFormatPr defaultRowHeight="14.4" x14ac:dyDescent="0.3"/>
  <cols>
    <col min="1" max="1" width="17.6640625" style="1" bestFit="1" customWidth="1"/>
    <col min="2" max="2" width="25.88671875" style="1" bestFit="1" customWidth="1"/>
    <col min="3" max="3" width="12.33203125" style="1" bestFit="1" customWidth="1"/>
    <col min="4" max="16384" width="8.88671875" style="1"/>
  </cols>
  <sheetData>
    <row r="1" spans="1:4" ht="23.4" x14ac:dyDescent="0.45">
      <c r="A1" s="100" t="s">
        <v>171</v>
      </c>
      <c r="B1" s="100"/>
      <c r="C1" s="100"/>
    </row>
    <row r="3" spans="1:4" x14ac:dyDescent="0.3">
      <c r="A3" s="69" t="s">
        <v>0</v>
      </c>
      <c r="B3" s="69" t="s">
        <v>1</v>
      </c>
      <c r="C3" s="69" t="s">
        <v>2</v>
      </c>
    </row>
    <row r="4" spans="1:4" x14ac:dyDescent="0.3">
      <c r="A4" s="44" t="s">
        <v>3</v>
      </c>
      <c r="B4" s="44" t="s">
        <v>4</v>
      </c>
      <c r="C4" s="7" t="s">
        <v>5</v>
      </c>
    </row>
    <row r="5" spans="1:4" x14ac:dyDescent="0.3">
      <c r="A5" s="44" t="s">
        <v>3</v>
      </c>
      <c r="B5" s="44" t="s">
        <v>206</v>
      </c>
      <c r="C5" s="7">
        <v>5</v>
      </c>
    </row>
    <row r="6" spans="1:4" x14ac:dyDescent="0.3">
      <c r="A6" s="44" t="s">
        <v>3</v>
      </c>
      <c r="B6" s="44" t="s">
        <v>7</v>
      </c>
      <c r="C6" s="7">
        <v>360</v>
      </c>
    </row>
    <row r="7" spans="1:4" x14ac:dyDescent="0.3">
      <c r="A7" s="44" t="s">
        <v>3</v>
      </c>
      <c r="B7" s="44" t="s">
        <v>8</v>
      </c>
      <c r="C7" s="65" t="s">
        <v>9</v>
      </c>
    </row>
    <row r="8" spans="1:4" x14ac:dyDescent="0.3">
      <c r="A8" s="44"/>
      <c r="B8" s="44"/>
      <c r="C8" s="65"/>
    </row>
    <row r="9" spans="1:4" x14ac:dyDescent="0.3">
      <c r="A9" s="44" t="s">
        <v>10</v>
      </c>
      <c r="B9" s="44" t="s">
        <v>11</v>
      </c>
      <c r="C9" s="7">
        <v>180</v>
      </c>
    </row>
    <row r="10" spans="1:4" x14ac:dyDescent="0.3">
      <c r="A10" s="44" t="s">
        <v>10</v>
      </c>
      <c r="B10" s="44" t="s">
        <v>12</v>
      </c>
      <c r="C10" s="65" t="s">
        <v>13</v>
      </c>
    </row>
    <row r="11" spans="1:4" x14ac:dyDescent="0.3">
      <c r="A11" s="44" t="s">
        <v>10</v>
      </c>
      <c r="B11" s="44" t="s">
        <v>14</v>
      </c>
      <c r="C11" s="7">
        <v>75</v>
      </c>
    </row>
    <row r="12" spans="1:4" x14ac:dyDescent="0.3">
      <c r="A12" s="44" t="s">
        <v>10</v>
      </c>
      <c r="B12" s="44" t="s">
        <v>15</v>
      </c>
      <c r="C12" s="65" t="s">
        <v>16</v>
      </c>
    </row>
    <row r="13" spans="1:4" x14ac:dyDescent="0.3">
      <c r="A13" s="44" t="s">
        <v>10</v>
      </c>
      <c r="B13" s="44" t="s">
        <v>17</v>
      </c>
      <c r="C13" s="65" t="s">
        <v>18</v>
      </c>
    </row>
    <row r="14" spans="1:4" x14ac:dyDescent="0.3">
      <c r="A14" s="44" t="s">
        <v>10</v>
      </c>
      <c r="B14" s="44" t="s">
        <v>133</v>
      </c>
      <c r="C14" s="66">
        <v>360</v>
      </c>
    </row>
    <row r="15" spans="1:4" x14ac:dyDescent="0.3">
      <c r="A15" s="44"/>
      <c r="B15" s="44"/>
      <c r="C15" s="65"/>
    </row>
    <row r="16" spans="1:4" x14ac:dyDescent="0.3">
      <c r="A16" s="44" t="s">
        <v>19</v>
      </c>
      <c r="B16" s="44" t="s">
        <v>20</v>
      </c>
      <c r="C16" s="7">
        <v>4</v>
      </c>
      <c r="D16" s="3"/>
    </row>
    <row r="17" spans="1:3" x14ac:dyDescent="0.3">
      <c r="A17" s="44" t="s">
        <v>19</v>
      </c>
      <c r="B17" s="44" t="s">
        <v>21</v>
      </c>
      <c r="C17" s="7">
        <v>8</v>
      </c>
    </row>
    <row r="18" spans="1:3" x14ac:dyDescent="0.3">
      <c r="A18" s="44" t="s">
        <v>19</v>
      </c>
      <c r="B18" s="44" t="s">
        <v>22</v>
      </c>
      <c r="C18" s="7">
        <v>2</v>
      </c>
    </row>
    <row r="19" spans="1:3" x14ac:dyDescent="0.3">
      <c r="A19" s="44" t="s">
        <v>19</v>
      </c>
      <c r="B19" s="44" t="s">
        <v>23</v>
      </c>
      <c r="C19" s="7">
        <v>2</v>
      </c>
    </row>
    <row r="20" spans="1:3" x14ac:dyDescent="0.3">
      <c r="A20" s="44" t="s">
        <v>19</v>
      </c>
      <c r="B20" s="44" t="s">
        <v>24</v>
      </c>
      <c r="C20" s="7">
        <v>3</v>
      </c>
    </row>
    <row r="21" spans="1:3" x14ac:dyDescent="0.3">
      <c r="A21" s="44" t="s">
        <v>19</v>
      </c>
      <c r="B21" s="44" t="s">
        <v>25</v>
      </c>
      <c r="C21" s="7">
        <v>5</v>
      </c>
    </row>
    <row r="22" spans="1:3" x14ac:dyDescent="0.3">
      <c r="A22" s="44" t="s">
        <v>19</v>
      </c>
      <c r="B22" s="44" t="s">
        <v>129</v>
      </c>
      <c r="C22" s="65" t="s">
        <v>26</v>
      </c>
    </row>
    <row r="23" spans="1:3" x14ac:dyDescent="0.3">
      <c r="A23" s="44" t="s">
        <v>19</v>
      </c>
      <c r="B23" s="44" t="s">
        <v>8</v>
      </c>
      <c r="C23" s="65">
        <v>0.04</v>
      </c>
    </row>
    <row r="24" spans="1:3" x14ac:dyDescent="0.3">
      <c r="A24" s="44"/>
      <c r="B24" s="44"/>
      <c r="C24" s="65"/>
    </row>
    <row r="25" spans="1:3" x14ac:dyDescent="0.3">
      <c r="A25" s="44" t="s">
        <v>27</v>
      </c>
      <c r="B25" s="44" t="s">
        <v>28</v>
      </c>
      <c r="C25" s="7">
        <v>30000</v>
      </c>
    </row>
    <row r="26" spans="1:3" x14ac:dyDescent="0.3">
      <c r="A26" s="44" t="s">
        <v>27</v>
      </c>
      <c r="B26" s="44" t="s">
        <v>29</v>
      </c>
      <c r="C26" s="7">
        <v>18000</v>
      </c>
    </row>
    <row r="27" spans="1:3" x14ac:dyDescent="0.3">
      <c r="A27" s="44" t="s">
        <v>27</v>
      </c>
      <c r="B27" s="44" t="s">
        <v>30</v>
      </c>
      <c r="C27" s="7">
        <v>20000</v>
      </c>
    </row>
    <row r="28" spans="1:3" x14ac:dyDescent="0.3">
      <c r="A28" s="44" t="s">
        <v>27</v>
      </c>
      <c r="B28" s="44" t="s">
        <v>31</v>
      </c>
      <c r="C28" s="7">
        <v>15000</v>
      </c>
    </row>
    <row r="29" spans="1:3" x14ac:dyDescent="0.3">
      <c r="A29" s="44" t="s">
        <v>27</v>
      </c>
      <c r="B29" s="44" t="s">
        <v>32</v>
      </c>
      <c r="C29" s="7">
        <v>12000</v>
      </c>
    </row>
    <row r="30" spans="1:3" x14ac:dyDescent="0.3">
      <c r="A30" s="44" t="s">
        <v>27</v>
      </c>
      <c r="B30" s="44" t="s">
        <v>33</v>
      </c>
      <c r="C30" s="7">
        <v>1</v>
      </c>
    </row>
    <row r="31" spans="1:3" x14ac:dyDescent="0.3">
      <c r="A31" s="44" t="s">
        <v>27</v>
      </c>
      <c r="B31" s="44" t="s">
        <v>34</v>
      </c>
      <c r="C31" s="7">
        <v>1</v>
      </c>
    </row>
    <row r="32" spans="1:3" x14ac:dyDescent="0.3">
      <c r="A32" s="44" t="s">
        <v>27</v>
      </c>
      <c r="B32" s="44" t="s">
        <v>35</v>
      </c>
      <c r="C32" s="7">
        <v>2</v>
      </c>
    </row>
    <row r="33" spans="1:3" x14ac:dyDescent="0.3">
      <c r="A33" s="44" t="s">
        <v>27</v>
      </c>
      <c r="B33" s="44" t="s">
        <v>36</v>
      </c>
      <c r="C33" s="7">
        <v>2</v>
      </c>
    </row>
    <row r="34" spans="1:3" x14ac:dyDescent="0.3">
      <c r="A34" s="44" t="s">
        <v>27</v>
      </c>
      <c r="B34" s="44" t="s">
        <v>37</v>
      </c>
      <c r="C34" s="7">
        <v>1</v>
      </c>
    </row>
    <row r="35" spans="1:3" x14ac:dyDescent="0.3">
      <c r="A35" s="44" t="s">
        <v>27</v>
      </c>
      <c r="B35" s="44" t="s">
        <v>38</v>
      </c>
      <c r="C35" s="65" t="s">
        <v>13</v>
      </c>
    </row>
    <row r="36" spans="1:3" x14ac:dyDescent="0.3">
      <c r="A36" s="44"/>
      <c r="B36" s="44"/>
      <c r="C36" s="65"/>
    </row>
    <row r="37" spans="1:3" x14ac:dyDescent="0.3">
      <c r="A37" s="44" t="s">
        <v>39</v>
      </c>
      <c r="B37" s="44" t="s">
        <v>40</v>
      </c>
      <c r="C37" s="7">
        <v>600000</v>
      </c>
    </row>
    <row r="38" spans="1:3" x14ac:dyDescent="0.3">
      <c r="A38" s="44" t="s">
        <v>39</v>
      </c>
      <c r="B38" s="44" t="s">
        <v>41</v>
      </c>
      <c r="C38" s="7">
        <v>200000</v>
      </c>
    </row>
    <row r="39" spans="1:3" x14ac:dyDescent="0.3">
      <c r="A39" s="44" t="s">
        <v>39</v>
      </c>
      <c r="B39" s="44" t="s">
        <v>42</v>
      </c>
      <c r="C39" s="7">
        <v>60000</v>
      </c>
    </row>
    <row r="40" spans="1:3" x14ac:dyDescent="0.3">
      <c r="A40" s="44" t="s">
        <v>39</v>
      </c>
      <c r="B40" s="44" t="s">
        <v>43</v>
      </c>
      <c r="C40" s="7">
        <v>36000</v>
      </c>
    </row>
    <row r="41" spans="1:3" x14ac:dyDescent="0.3">
      <c r="A41" s="44" t="s">
        <v>39</v>
      </c>
      <c r="B41" s="44" t="s">
        <v>44</v>
      </c>
      <c r="C41" s="7">
        <v>18000</v>
      </c>
    </row>
    <row r="42" spans="1:3" x14ac:dyDescent="0.3">
      <c r="A42" s="44" t="s">
        <v>39</v>
      </c>
      <c r="B42" s="44" t="s">
        <v>45</v>
      </c>
      <c r="C42" s="7" t="s">
        <v>46</v>
      </c>
    </row>
    <row r="43" spans="1:3" x14ac:dyDescent="0.3">
      <c r="A43" s="44" t="s">
        <v>39</v>
      </c>
      <c r="B43" s="44" t="s">
        <v>47</v>
      </c>
      <c r="C43" s="7">
        <v>50000</v>
      </c>
    </row>
    <row r="44" spans="1:3" x14ac:dyDescent="0.3">
      <c r="A44" s="44" t="s">
        <v>39</v>
      </c>
      <c r="B44" s="44" t="s">
        <v>48</v>
      </c>
      <c r="C44" s="7">
        <v>24000</v>
      </c>
    </row>
    <row r="45" spans="1:3" x14ac:dyDescent="0.3">
      <c r="A45" s="44" t="s">
        <v>39</v>
      </c>
      <c r="B45" s="44" t="s">
        <v>49</v>
      </c>
      <c r="C45" s="7">
        <v>36000</v>
      </c>
    </row>
    <row r="46" spans="1:3" x14ac:dyDescent="0.3">
      <c r="A46" s="44" t="s">
        <v>39</v>
      </c>
      <c r="B46" s="44" t="s">
        <v>50</v>
      </c>
      <c r="C46" s="7">
        <v>50000</v>
      </c>
    </row>
    <row r="47" spans="1:3" x14ac:dyDescent="0.3">
      <c r="A47" s="44" t="s">
        <v>39</v>
      </c>
      <c r="B47" s="44" t="s">
        <v>135</v>
      </c>
      <c r="C47" s="67">
        <v>0.05</v>
      </c>
    </row>
    <row r="48" spans="1:3" x14ac:dyDescent="0.3">
      <c r="A48" s="44"/>
      <c r="B48" s="44"/>
      <c r="C48" s="7"/>
    </row>
    <row r="49" spans="1:3" x14ac:dyDescent="0.3">
      <c r="A49" s="44" t="s">
        <v>51</v>
      </c>
      <c r="B49" s="44" t="s">
        <v>52</v>
      </c>
      <c r="C49" s="7">
        <v>3</v>
      </c>
    </row>
    <row r="50" spans="1:3" x14ac:dyDescent="0.3">
      <c r="A50" s="44" t="s">
        <v>51</v>
      </c>
      <c r="B50" s="44" t="s">
        <v>53</v>
      </c>
      <c r="C50" s="7">
        <v>15</v>
      </c>
    </row>
    <row r="51" spans="1:3" x14ac:dyDescent="0.3">
      <c r="A51" s="44" t="s">
        <v>51</v>
      </c>
      <c r="B51" s="44" t="s">
        <v>54</v>
      </c>
      <c r="C51" s="7">
        <v>30</v>
      </c>
    </row>
    <row r="52" spans="1:3" x14ac:dyDescent="0.3">
      <c r="A52" s="44"/>
      <c r="B52" s="44"/>
      <c r="C52" s="7"/>
    </row>
    <row r="53" spans="1:3" x14ac:dyDescent="0.3">
      <c r="A53" s="44" t="s">
        <v>55</v>
      </c>
      <c r="B53" s="44" t="s">
        <v>56</v>
      </c>
      <c r="C53" s="7">
        <v>100000</v>
      </c>
    </row>
    <row r="54" spans="1:3" x14ac:dyDescent="0.3">
      <c r="A54" s="44" t="s">
        <v>55</v>
      </c>
      <c r="B54" s="44" t="s">
        <v>57</v>
      </c>
      <c r="C54" s="7">
        <v>1000000</v>
      </c>
    </row>
    <row r="55" spans="1:3" x14ac:dyDescent="0.3">
      <c r="A55" s="44"/>
      <c r="B55" s="44"/>
      <c r="C55" s="7"/>
    </row>
    <row r="56" spans="1:3" x14ac:dyDescent="0.3">
      <c r="A56" s="44" t="s">
        <v>58</v>
      </c>
      <c r="B56" s="44" t="s">
        <v>59</v>
      </c>
      <c r="C56" s="7" t="s">
        <v>60</v>
      </c>
    </row>
    <row r="57" spans="1:3" x14ac:dyDescent="0.3">
      <c r="A57" s="44" t="s">
        <v>58</v>
      </c>
      <c r="B57" s="44" t="s">
        <v>61</v>
      </c>
      <c r="C57" s="7" t="s">
        <v>62</v>
      </c>
    </row>
    <row r="58" spans="1:3" x14ac:dyDescent="0.3">
      <c r="A58" s="44"/>
      <c r="B58" s="44"/>
      <c r="C58" s="7"/>
    </row>
    <row r="59" spans="1:3" x14ac:dyDescent="0.3">
      <c r="A59" s="44" t="s">
        <v>63</v>
      </c>
      <c r="B59" s="44" t="s">
        <v>207</v>
      </c>
      <c r="C59" s="7">
        <v>500000</v>
      </c>
    </row>
    <row r="60" spans="1:3" x14ac:dyDescent="0.3">
      <c r="A60" s="44" t="s">
        <v>63</v>
      </c>
      <c r="B60" s="44" t="s">
        <v>64</v>
      </c>
      <c r="C60" s="65" t="s">
        <v>65</v>
      </c>
    </row>
    <row r="61" spans="1:3" x14ac:dyDescent="0.3">
      <c r="A61" s="44" t="s">
        <v>63</v>
      </c>
      <c r="B61" s="44" t="s">
        <v>66</v>
      </c>
      <c r="C61" s="7" t="s">
        <v>67</v>
      </c>
    </row>
    <row r="62" spans="1:3" x14ac:dyDescent="0.3">
      <c r="A62" s="44" t="s">
        <v>63</v>
      </c>
      <c r="B62" s="44" t="s">
        <v>68</v>
      </c>
      <c r="C62" s="7">
        <v>100000</v>
      </c>
    </row>
    <row r="63" spans="1:3" x14ac:dyDescent="0.3">
      <c r="A63" s="44"/>
      <c r="B63" s="44"/>
      <c r="C63" s="7"/>
    </row>
    <row r="64" spans="1:3" x14ac:dyDescent="0.3">
      <c r="A64" s="44" t="s">
        <v>69</v>
      </c>
      <c r="B64" s="44" t="s">
        <v>70</v>
      </c>
      <c r="C64" s="65" t="s">
        <v>71</v>
      </c>
    </row>
    <row r="65" spans="1:3" x14ac:dyDescent="0.3">
      <c r="A65" s="44"/>
      <c r="B65" s="44"/>
      <c r="C65" s="65"/>
    </row>
    <row r="66" spans="1:3" x14ac:dyDescent="0.3">
      <c r="A66" s="44" t="s">
        <v>72</v>
      </c>
      <c r="B66" s="44" t="s">
        <v>73</v>
      </c>
      <c r="C66" s="65" t="s">
        <v>74</v>
      </c>
    </row>
    <row r="67" spans="1:3" x14ac:dyDescent="0.3">
      <c r="A67" s="44"/>
      <c r="B67" s="44"/>
      <c r="C67" s="65"/>
    </row>
    <row r="68" spans="1:3" x14ac:dyDescent="0.3">
      <c r="A68" s="44" t="s">
        <v>75</v>
      </c>
      <c r="B68" s="44" t="s">
        <v>76</v>
      </c>
      <c r="C68" s="65" t="s">
        <v>18</v>
      </c>
    </row>
    <row r="69" spans="1:3" x14ac:dyDescent="0.3">
      <c r="A69" s="44" t="s">
        <v>75</v>
      </c>
      <c r="B69" s="44" t="s">
        <v>77</v>
      </c>
      <c r="C69" s="65" t="s">
        <v>16</v>
      </c>
    </row>
  </sheetData>
  <mergeCells count="1">
    <mergeCell ref="A1:C1"/>
  </mergeCells>
  <pageMargins left="0.75" right="0.75" top="1" bottom="1" header="0.5" footer="0.5"/>
  <ignoredErrors>
    <ignoredError sqref="C22 C68:C69 C64:C67 C60 C35 C12:C13 C10 C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5"/>
  <sheetViews>
    <sheetView showGridLines="0" workbookViewId="0">
      <pane ySplit="3" topLeftCell="A4" activePane="bottomLeft" state="frozen"/>
      <selection pane="bottomLeft" activeCell="A3" sqref="A1:G1048576"/>
    </sheetView>
  </sheetViews>
  <sheetFormatPr defaultRowHeight="14.4" x14ac:dyDescent="0.3"/>
  <cols>
    <col min="1" max="1" width="32.109375" bestFit="1" customWidth="1"/>
    <col min="2" max="6" width="12.5546875" bestFit="1" customWidth="1"/>
  </cols>
  <sheetData>
    <row r="1" spans="1:6" ht="21" x14ac:dyDescent="0.4">
      <c r="A1" s="97" t="s">
        <v>180</v>
      </c>
      <c r="B1" s="97"/>
      <c r="C1" s="97"/>
      <c r="D1" s="97"/>
      <c r="E1" s="97"/>
      <c r="F1" s="97"/>
    </row>
    <row r="2" spans="1:6" x14ac:dyDescent="0.3">
      <c r="A2" s="96" t="s">
        <v>196</v>
      </c>
      <c r="B2" s="96"/>
      <c r="C2" s="96"/>
      <c r="D2" s="96"/>
      <c r="E2" s="96"/>
      <c r="F2" s="96"/>
    </row>
    <row r="3" spans="1:6" x14ac:dyDescent="0.3">
      <c r="A3" s="8" t="s">
        <v>78</v>
      </c>
      <c r="B3" s="8" t="s">
        <v>110</v>
      </c>
      <c r="C3" s="8" t="s">
        <v>111</v>
      </c>
      <c r="D3" s="8" t="s">
        <v>112</v>
      </c>
      <c r="E3" s="8" t="s">
        <v>113</v>
      </c>
      <c r="F3" s="8" t="s">
        <v>114</v>
      </c>
    </row>
    <row r="4" spans="1:6" x14ac:dyDescent="0.3">
      <c r="A4" t="str">
        <f>'Historical FS'!A5</f>
        <v>Revenue</v>
      </c>
      <c r="B4" s="4">
        <f>'Revenue Schedule'!B6</f>
        <v>4860000</v>
      </c>
      <c r="C4" s="4">
        <f>'Revenue Schedule'!C6</f>
        <v>5458752</v>
      </c>
      <c r="D4" s="4">
        <f>'Revenue Schedule'!D6</f>
        <v>6131270.2464000005</v>
      </c>
      <c r="E4" s="4">
        <f>'Revenue Schedule'!E6</f>
        <v>6886642.740756481</v>
      </c>
      <c r="F4" s="4">
        <f>'Revenue Schedule'!F6</f>
        <v>7735077.1264176816</v>
      </c>
    </row>
    <row r="5" spans="1:6" x14ac:dyDescent="0.3">
      <c r="A5" s="50" t="s">
        <v>187</v>
      </c>
      <c r="B5" s="52"/>
      <c r="C5" s="52">
        <f>(C4-B4)/B4</f>
        <v>0.1232</v>
      </c>
      <c r="D5" s="52">
        <f t="shared" ref="D5:F5" si="0">(D4-C4)/C4</f>
        <v>0.1232000000000001</v>
      </c>
      <c r="E5" s="52">
        <f t="shared" si="0"/>
        <v>0.12320000000000006</v>
      </c>
      <c r="F5" s="52">
        <f t="shared" si="0"/>
        <v>0.12320000000000031</v>
      </c>
    </row>
    <row r="6" spans="1:6" x14ac:dyDescent="0.3">
      <c r="A6" t="str">
        <f>'Historical FS'!A6</f>
        <v>COGS</v>
      </c>
      <c r="B6" s="4">
        <f>'COGS Schedule'!B15</f>
        <v>1586304</v>
      </c>
      <c r="C6" s="4">
        <f>'COGS Schedule'!C15</f>
        <v>1781736.6528</v>
      </c>
      <c r="D6" s="4">
        <f>'COGS Schedule'!D15</f>
        <v>1962761.0967244804</v>
      </c>
      <c r="E6" s="4">
        <f>'COGS Schedule'!E15</f>
        <v>2162177.6241516876</v>
      </c>
      <c r="F6" s="4">
        <f>'COGS Schedule'!F15</f>
        <v>2381854.8707654998</v>
      </c>
    </row>
    <row r="7" spans="1:6" x14ac:dyDescent="0.3">
      <c r="A7" s="50" t="s">
        <v>188</v>
      </c>
      <c r="B7" s="52"/>
      <c r="C7" s="52">
        <f>(C6-B6)/B6</f>
        <v>0.12320000000000003</v>
      </c>
      <c r="D7" s="52">
        <f t="shared" ref="D7" si="1">(D6-C6)/C6</f>
        <v>0.10160000000000019</v>
      </c>
      <c r="E7" s="52">
        <f t="shared" ref="E7" si="2">(E6-D6)/D6</f>
        <v>0.1016</v>
      </c>
      <c r="F7" s="52">
        <f t="shared" ref="F7" si="3">(F6-E6)/E6</f>
        <v>0.10160000000000033</v>
      </c>
    </row>
    <row r="8" spans="1:6" x14ac:dyDescent="0.3">
      <c r="A8" s="16" t="str">
        <f>'Historical FS'!A7</f>
        <v>Gross Profit</v>
      </c>
      <c r="B8" s="17">
        <f>B4-B6</f>
        <v>3273696</v>
      </c>
      <c r="C8" s="17">
        <f t="shared" ref="C8:F8" si="4">C4-C6</f>
        <v>3677015.3471999997</v>
      </c>
      <c r="D8" s="17">
        <f t="shared" si="4"/>
        <v>4168509.1496755201</v>
      </c>
      <c r="E8" s="17">
        <f t="shared" si="4"/>
        <v>4724465.1166047938</v>
      </c>
      <c r="F8" s="17">
        <f t="shared" si="4"/>
        <v>5353222.2556521818</v>
      </c>
    </row>
    <row r="9" spans="1:6" x14ac:dyDescent="0.3">
      <c r="A9" s="50" t="s">
        <v>190</v>
      </c>
      <c r="B9" s="55">
        <f>B8/B4</f>
        <v>0.67359999999999998</v>
      </c>
      <c r="C9" s="55">
        <f t="shared" ref="C9:F9" si="5">C8/C4</f>
        <v>0.67359999999999998</v>
      </c>
      <c r="D9" s="55">
        <f t="shared" si="5"/>
        <v>0.67987692307692305</v>
      </c>
      <c r="E9" s="55">
        <f t="shared" si="5"/>
        <v>0.68603313609467464</v>
      </c>
      <c r="F9" s="55">
        <f t="shared" si="5"/>
        <v>0.69207096040054616</v>
      </c>
    </row>
    <row r="10" spans="1:6" x14ac:dyDescent="0.3">
      <c r="A10" t="s">
        <v>186</v>
      </c>
      <c r="B10" s="4">
        <f>'Operating Expenses'!B15+Payroll!D10</f>
        <v>2779800</v>
      </c>
      <c r="C10" s="4">
        <f>'Operating Expenses'!C15+Payroll!E10</f>
        <v>2976262.56</v>
      </c>
      <c r="D10" s="4">
        <f>'Operating Expenses'!D15+Payroll!F10</f>
        <v>3187607.107392</v>
      </c>
      <c r="E10" s="4">
        <f>'Operating Expenses'!E15+Payroll!G10</f>
        <v>3415039.2522226945</v>
      </c>
      <c r="F10" s="4">
        <f>'Operating Expenses'!F15+Payroll!H10</f>
        <v>3659868.8038925314</v>
      </c>
    </row>
    <row r="11" spans="1:6" x14ac:dyDescent="0.3">
      <c r="A11" s="50" t="s">
        <v>189</v>
      </c>
      <c r="B11" s="52"/>
      <c r="C11" s="52">
        <f>(C10-B10)/B10</f>
        <v>7.0675070148931596E-2</v>
      </c>
      <c r="D11" s="52">
        <f t="shared" ref="D11" si="6">(D10-C10)/C10</f>
        <v>7.101004804898664E-2</v>
      </c>
      <c r="E11" s="52">
        <f t="shared" ref="E11" si="7">(E10-D10)/D10</f>
        <v>7.1348863636074733E-2</v>
      </c>
      <c r="F11" s="52">
        <f t="shared" ref="F11" si="8">(F10-E10)/E10</f>
        <v>7.1691577632815931E-2</v>
      </c>
    </row>
    <row r="12" spans="1:6" x14ac:dyDescent="0.3">
      <c r="A12" s="16" t="str">
        <f>'Historical FS'!A9</f>
        <v>EBITDA</v>
      </c>
      <c r="B12" s="17">
        <f>B8-B10-B11</f>
        <v>493896</v>
      </c>
      <c r="C12" s="17">
        <f t="shared" ref="C12:F12" si="9">C8-C10-C11</f>
        <v>700752.71652492951</v>
      </c>
      <c r="D12" s="17">
        <f t="shared" si="9"/>
        <v>980901.97127347207</v>
      </c>
      <c r="E12" s="17">
        <f t="shared" si="9"/>
        <v>1309425.7930332357</v>
      </c>
      <c r="F12" s="17">
        <f t="shared" si="9"/>
        <v>1693353.3800680728</v>
      </c>
    </row>
    <row r="13" spans="1:6" x14ac:dyDescent="0.3">
      <c r="A13" s="50" t="s">
        <v>191</v>
      </c>
      <c r="B13" s="55">
        <f>B12/B4</f>
        <v>0.1016246913580247</v>
      </c>
      <c r="C13" s="55">
        <f t="shared" ref="C13:F13" si="10">C12/C4</f>
        <v>0.12837233062152842</v>
      </c>
      <c r="D13" s="55">
        <f t="shared" si="10"/>
        <v>0.15998348333274209</v>
      </c>
      <c r="E13" s="55">
        <f t="shared" si="10"/>
        <v>0.19013993353884923</v>
      </c>
      <c r="F13" s="55">
        <f t="shared" si="10"/>
        <v>0.21891874539747602</v>
      </c>
    </row>
    <row r="14" spans="1:6" x14ac:dyDescent="0.3">
      <c r="A14" t="str">
        <f>'Historical FS'!A10</f>
        <v>Depreciation</v>
      </c>
      <c r="B14" s="4">
        <f>Depreciation!B6</f>
        <v>47500</v>
      </c>
      <c r="C14" s="4">
        <f>Depreciation!C6</f>
        <v>52750</v>
      </c>
      <c r="D14" s="4">
        <f>Depreciation!D6</f>
        <v>57475</v>
      </c>
      <c r="E14" s="4">
        <f>Depreciation!E6</f>
        <v>61727.5</v>
      </c>
      <c r="F14" s="4">
        <f>Depreciation!F6</f>
        <v>65554.75</v>
      </c>
    </row>
    <row r="15" spans="1:6" x14ac:dyDescent="0.3">
      <c r="A15" s="50" t="s">
        <v>195</v>
      </c>
      <c r="B15" s="52">
        <f>B14/B4</f>
        <v>9.7736625514403298E-3</v>
      </c>
      <c r="C15" s="52">
        <f t="shared" ref="C15:F15" si="11">C14/C4</f>
        <v>9.6633809339570654E-3</v>
      </c>
      <c r="D15" s="52">
        <f t="shared" si="11"/>
        <v>9.3740770982565433E-3</v>
      </c>
      <c r="E15" s="52">
        <f t="shared" si="11"/>
        <v>8.9633660876125808E-3</v>
      </c>
      <c r="F15" s="52">
        <f t="shared" si="11"/>
        <v>8.4749962965605403E-3</v>
      </c>
    </row>
    <row r="16" spans="1:6" x14ac:dyDescent="0.3">
      <c r="A16" s="16" t="str">
        <f>'Historical FS'!A11</f>
        <v>EBIT</v>
      </c>
      <c r="B16" s="17">
        <f>B12-B14</f>
        <v>446396</v>
      </c>
      <c r="C16" s="17">
        <f>C12-C14</f>
        <v>648002.71652492951</v>
      </c>
      <c r="D16" s="17">
        <f>D12-D14</f>
        <v>923426.97127347207</v>
      </c>
      <c r="E16" s="17">
        <f>E12-E14</f>
        <v>1247698.2930332357</v>
      </c>
      <c r="F16" s="17">
        <f>F12-F14</f>
        <v>1627798.6300680728</v>
      </c>
    </row>
    <row r="17" spans="1:6" x14ac:dyDescent="0.3">
      <c r="A17" s="50" t="s">
        <v>192</v>
      </c>
      <c r="B17" s="55">
        <f>B16/B4</f>
        <v>9.1851028806584356E-2</v>
      </c>
      <c r="C17" s="55">
        <f t="shared" ref="C17:F17" si="12">C16/C4</f>
        <v>0.11870894968757136</v>
      </c>
      <c r="D17" s="55">
        <f t="shared" si="12"/>
        <v>0.15060940623448557</v>
      </c>
      <c r="E17" s="55">
        <f t="shared" si="12"/>
        <v>0.18117656745123664</v>
      </c>
      <c r="F17" s="55">
        <f t="shared" si="12"/>
        <v>0.21044374910091548</v>
      </c>
    </row>
    <row r="18" spans="1:6" x14ac:dyDescent="0.3">
      <c r="A18" t="str">
        <f>'Historical FS'!A12</f>
        <v>Interest</v>
      </c>
      <c r="B18" s="4">
        <f>Debt!B16</f>
        <v>46000</v>
      </c>
      <c r="C18" s="4">
        <f>Debt!C16</f>
        <v>34000</v>
      </c>
      <c r="D18" s="4">
        <f>Debt!D16</f>
        <v>22000</v>
      </c>
      <c r="E18" s="4">
        <f>Debt!E16</f>
        <v>10000</v>
      </c>
      <c r="F18" s="4">
        <f>Debt!F16</f>
        <v>0</v>
      </c>
    </row>
    <row r="19" spans="1:6" x14ac:dyDescent="0.3">
      <c r="A19" s="51" t="s">
        <v>195</v>
      </c>
      <c r="B19" s="52">
        <f>B18/B4</f>
        <v>9.4650205761316868E-3</v>
      </c>
      <c r="C19" s="52">
        <f t="shared" ref="C19:E19" si="13">C18/C4</f>
        <v>6.2285298910813311E-3</v>
      </c>
      <c r="D19" s="52">
        <f t="shared" si="13"/>
        <v>3.5881634825862367E-3</v>
      </c>
      <c r="E19" s="52">
        <f t="shared" si="13"/>
        <v>1.452086361445479E-3</v>
      </c>
      <c r="F19" s="53">
        <f>Debt!F17</f>
        <v>0</v>
      </c>
    </row>
    <row r="20" spans="1:6" x14ac:dyDescent="0.3">
      <c r="A20" s="16" t="str">
        <f>'Historical FS'!A13</f>
        <v>PBT</v>
      </c>
      <c r="B20" s="17">
        <f>B16-B18</f>
        <v>400396</v>
      </c>
      <c r="C20" s="17">
        <f>C16-C18</f>
        <v>614002.71652492951</v>
      </c>
      <c r="D20" s="17">
        <f>D16-D18</f>
        <v>901426.97127347207</v>
      </c>
      <c r="E20" s="17">
        <f>E16-E18</f>
        <v>1237698.2930332357</v>
      </c>
      <c r="F20" s="17">
        <f>F16-F18</f>
        <v>1627798.6300680728</v>
      </c>
    </row>
    <row r="21" spans="1:6" x14ac:dyDescent="0.3">
      <c r="A21" s="50" t="s">
        <v>193</v>
      </c>
      <c r="B21" s="55">
        <f>B20/B4</f>
        <v>8.2386008230452681E-2</v>
      </c>
      <c r="C21" s="55">
        <f t="shared" ref="C21:F21" si="14">C20/C4</f>
        <v>0.11248041979649002</v>
      </c>
      <c r="D21" s="55">
        <f t="shared" si="14"/>
        <v>0.14702124275189932</v>
      </c>
      <c r="E21" s="55">
        <f t="shared" si="14"/>
        <v>0.17972448108979117</v>
      </c>
      <c r="F21" s="55">
        <f t="shared" si="14"/>
        <v>0.21044374910091548</v>
      </c>
    </row>
    <row r="22" spans="1:6" x14ac:dyDescent="0.3">
      <c r="A22" t="str">
        <f>'Historical FS'!A14</f>
        <v>Tax</v>
      </c>
      <c r="B22" s="4">
        <f>B20*25%</f>
        <v>100099</v>
      </c>
      <c r="C22" s="4">
        <f t="shared" ref="C22:F22" si="15">C20*25%</f>
        <v>153500.67913123238</v>
      </c>
      <c r="D22" s="4">
        <f t="shared" si="15"/>
        <v>225356.74281836802</v>
      </c>
      <c r="E22" s="4">
        <f t="shared" si="15"/>
        <v>309424.57325830893</v>
      </c>
      <c r="F22" s="4">
        <f t="shared" si="15"/>
        <v>406949.6575170182</v>
      </c>
    </row>
    <row r="23" spans="1:6" x14ac:dyDescent="0.3">
      <c r="A23" s="50" t="s">
        <v>195</v>
      </c>
      <c r="B23" s="52">
        <f>B22/B4</f>
        <v>2.059650205761317E-2</v>
      </c>
      <c r="C23" s="52">
        <f t="shared" ref="C23:F23" si="16">C22/C4</f>
        <v>2.8120104949122506E-2</v>
      </c>
      <c r="D23" s="52">
        <f t="shared" si="16"/>
        <v>3.6755310687974829E-2</v>
      </c>
      <c r="E23" s="52">
        <f t="shared" si="16"/>
        <v>4.4931120272447791E-2</v>
      </c>
      <c r="F23" s="52">
        <f t="shared" si="16"/>
        <v>5.2610937275228871E-2</v>
      </c>
    </row>
    <row r="24" spans="1:6" ht="15" thickBot="1" x14ac:dyDescent="0.35">
      <c r="A24" s="18" t="str">
        <f>'Historical FS'!A15</f>
        <v>Net Income</v>
      </c>
      <c r="B24" s="9">
        <f>B20-B22</f>
        <v>300297</v>
      </c>
      <c r="C24" s="9">
        <f t="shared" ref="C24:F24" si="17">C20-C22</f>
        <v>460502.03739369713</v>
      </c>
      <c r="D24" s="9">
        <f t="shared" si="17"/>
        <v>676070.22845510405</v>
      </c>
      <c r="E24" s="9">
        <f t="shared" si="17"/>
        <v>928273.71977492678</v>
      </c>
      <c r="F24" s="9">
        <f t="shared" si="17"/>
        <v>1220848.9725510546</v>
      </c>
    </row>
    <row r="25" spans="1:6" ht="15" thickTop="1" x14ac:dyDescent="0.3">
      <c r="A25" s="50" t="s">
        <v>194</v>
      </c>
      <c r="B25" s="52">
        <f>B24/B4</f>
        <v>6.1789506172839508E-2</v>
      </c>
      <c r="C25" s="52">
        <f t="shared" ref="C25:F25" si="18">C24/C4</f>
        <v>8.4360314847367515E-2</v>
      </c>
      <c r="D25" s="52">
        <f t="shared" si="18"/>
        <v>0.11026593206392449</v>
      </c>
      <c r="E25" s="52">
        <f t="shared" si="18"/>
        <v>0.13479336081734336</v>
      </c>
      <c r="F25" s="52">
        <f t="shared" si="18"/>
        <v>0.15783281182568659</v>
      </c>
    </row>
  </sheetData>
  <mergeCells count="2">
    <mergeCell ref="A1:F1"/>
    <mergeCell ref="A2:F2"/>
  </mergeCells>
  <pageMargins left="0.75" right="0.75" top="1" bottom="1" header="0.5" footer="0.5"/>
  <ignoredErrors>
    <ignoredError sqref="B14 B18 B22 C14:F14 C18:F18 C22:F22 C6:F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showGridLines="0" workbookViewId="0">
      <pane ySplit="3" topLeftCell="A4" activePane="bottomLeft" state="frozen"/>
      <selection pane="bottomLeft" activeCell="J19" sqref="J19"/>
    </sheetView>
  </sheetViews>
  <sheetFormatPr defaultRowHeight="14.4" x14ac:dyDescent="0.3"/>
  <cols>
    <col min="1" max="1" width="12.77734375" style="1" bestFit="1" customWidth="1"/>
    <col min="2" max="6" width="12.5546875" style="1" bestFit="1" customWidth="1"/>
    <col min="7" max="16384" width="8.88671875" style="1"/>
  </cols>
  <sheetData>
    <row r="1" spans="1:6" ht="21" x14ac:dyDescent="0.4">
      <c r="A1" s="101" t="s">
        <v>181</v>
      </c>
      <c r="B1" s="101"/>
      <c r="C1" s="101"/>
      <c r="D1" s="101"/>
      <c r="E1" s="101"/>
      <c r="F1" s="101"/>
    </row>
    <row r="3" spans="1:6" x14ac:dyDescent="0.3">
      <c r="A3" s="5" t="s">
        <v>78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</row>
    <row r="4" spans="1:6" x14ac:dyDescent="0.3">
      <c r="A4" s="1" t="str">
        <f>'Historical FS'!A18</f>
        <v>Cash</v>
      </c>
      <c r="B4" s="1">
        <f>'Historical FS'!D18+'Forecast CF'!B11</f>
        <v>791333.6</v>
      </c>
      <c r="C4" s="1">
        <f>B4+'Forecast CF'!C11</f>
        <v>995638.65711495769</v>
      </c>
      <c r="D4" s="1">
        <f>C4+'Forecast CF'!D11</f>
        <v>1375908.206322561</v>
      </c>
      <c r="E4" s="1">
        <f>D4+'Forecast CF'!E11</f>
        <v>1962268.9333323319</v>
      </c>
      <c r="F4" s="1">
        <f>E4+'Forecast CF'!F11</f>
        <v>2806585.7934349077</v>
      </c>
    </row>
    <row r="5" spans="1:6" x14ac:dyDescent="0.3">
      <c r="A5" s="1" t="str">
        <f>'Historical FS'!A19</f>
        <v>AR</v>
      </c>
      <c r="B5" s="1">
        <f>'Working Capital'!B4</f>
        <v>40500</v>
      </c>
      <c r="C5" s="1">
        <f>'Working Capital'!C4</f>
        <v>45489.599999999999</v>
      </c>
      <c r="D5" s="1">
        <f>'Working Capital'!D4</f>
        <v>51093.918720000001</v>
      </c>
      <c r="E5" s="1">
        <f>'Working Capital'!E4</f>
        <v>57388.689506304006</v>
      </c>
      <c r="F5" s="1">
        <f>'Working Capital'!F4</f>
        <v>64458.976053480677</v>
      </c>
    </row>
    <row r="6" spans="1:6" x14ac:dyDescent="0.3">
      <c r="A6" s="1" t="str">
        <f>'Historical FS'!A20</f>
        <v>Inventory</v>
      </c>
      <c r="B6" s="1">
        <f>'Working Capital'!B5</f>
        <v>66096</v>
      </c>
      <c r="C6" s="1">
        <f>'Working Capital'!C5</f>
        <v>74239.027199999997</v>
      </c>
      <c r="D6" s="1">
        <f>'Working Capital'!D5</f>
        <v>81781.712363520011</v>
      </c>
      <c r="E6" s="1">
        <f>'Working Capital'!E5</f>
        <v>90090.734339653645</v>
      </c>
      <c r="F6" s="1">
        <f>'Working Capital'!F5</f>
        <v>99243.952948562481</v>
      </c>
    </row>
    <row r="7" spans="1:6" x14ac:dyDescent="0.3">
      <c r="A7" s="1" t="str">
        <f>'Historical FS'!A21</f>
        <v>Net PPE</v>
      </c>
      <c r="B7" s="43">
        <f>Depreciation!B7</f>
        <v>427500</v>
      </c>
      <c r="C7" s="1">
        <f>Depreciation!C7</f>
        <v>474750</v>
      </c>
      <c r="D7" s="1">
        <f>Depreciation!D7</f>
        <v>517275</v>
      </c>
      <c r="E7" s="1">
        <f>Depreciation!E7</f>
        <v>555547.5</v>
      </c>
      <c r="F7" s="1">
        <f>Depreciation!F7</f>
        <v>589992.75</v>
      </c>
    </row>
    <row r="8" spans="1:6" ht="15" thickBot="1" x14ac:dyDescent="0.35">
      <c r="A8" s="6" t="str">
        <f>'Historical FS'!A22</f>
        <v>Total Assets</v>
      </c>
      <c r="B8" s="6">
        <f>SUM(B4:B7)</f>
        <v>1325429.6000000001</v>
      </c>
      <c r="C8" s="6">
        <f t="shared" ref="C8:F8" si="0">SUM(C4:C7)</f>
        <v>1590117.2843149577</v>
      </c>
      <c r="D8" s="6">
        <f t="shared" si="0"/>
        <v>2026058.8374060809</v>
      </c>
      <c r="E8" s="6">
        <f t="shared" si="0"/>
        <v>2665295.8571782894</v>
      </c>
      <c r="F8" s="6">
        <f t="shared" si="0"/>
        <v>3560281.4724369505</v>
      </c>
    </row>
    <row r="9" spans="1:6" ht="15" thickTop="1" x14ac:dyDescent="0.3"/>
    <row r="10" spans="1:6" x14ac:dyDescent="0.3">
      <c r="A10" s="1" t="str">
        <f>'Historical FS'!A23</f>
        <v>AP</v>
      </c>
      <c r="B10" s="1">
        <f>'Working Capital'!B6</f>
        <v>132192</v>
      </c>
      <c r="C10" s="1">
        <f>'Working Capital'!C6</f>
        <v>148478.05439999999</v>
      </c>
      <c r="D10" s="1">
        <f>'Working Capital'!D6</f>
        <v>163563.42472704002</v>
      </c>
      <c r="E10" s="1">
        <f>'Working Capital'!E6</f>
        <v>180181.46867930729</v>
      </c>
      <c r="F10" s="1">
        <f>'Working Capital'!F6</f>
        <v>198487.90589712496</v>
      </c>
    </row>
    <row r="11" spans="1:6" x14ac:dyDescent="0.3">
      <c r="A11" s="1" t="str">
        <f>'Historical FS'!A24</f>
        <v>Debt</v>
      </c>
      <c r="B11" s="1">
        <f>Debt!B17</f>
        <v>460000</v>
      </c>
      <c r="C11" s="1">
        <f>Debt!C17</f>
        <v>340000</v>
      </c>
      <c r="D11" s="1">
        <f>Debt!D17</f>
        <v>220000</v>
      </c>
      <c r="E11" s="1">
        <f>Debt!E17</f>
        <v>100000</v>
      </c>
      <c r="F11" s="1">
        <f>Debt!F17</f>
        <v>0</v>
      </c>
    </row>
    <row r="12" spans="1:6" x14ac:dyDescent="0.3">
      <c r="A12" s="1" t="str">
        <f>'Historical FS'!A25</f>
        <v>Owner Equity</v>
      </c>
      <c r="B12" s="1">
        <f>Equity!B8</f>
        <v>733237.6</v>
      </c>
      <c r="C12" s="1">
        <f>Equity!C8</f>
        <v>1101639.2299149577</v>
      </c>
      <c r="D12" s="1">
        <f>Equity!D8</f>
        <v>1642495.4126790408</v>
      </c>
      <c r="E12" s="1">
        <f>Equity!E8</f>
        <v>2385114.3884989824</v>
      </c>
      <c r="F12" s="1">
        <f>Equity!F8</f>
        <v>3361793.5665398259</v>
      </c>
    </row>
    <row r="13" spans="1:6" ht="15" thickBot="1" x14ac:dyDescent="0.35">
      <c r="A13" s="6" t="str">
        <f>'Historical FS'!A26</f>
        <v>Total L+E</v>
      </c>
      <c r="B13" s="6">
        <f>SUM(B10:B12)</f>
        <v>1325429.6000000001</v>
      </c>
      <c r="C13" s="6">
        <f t="shared" ref="C13:F13" si="1">SUM(C10:C12)</f>
        <v>1590117.2843149577</v>
      </c>
      <c r="D13" s="6">
        <f t="shared" si="1"/>
        <v>2026058.8374060807</v>
      </c>
      <c r="E13" s="6">
        <f t="shared" si="1"/>
        <v>2665295.8571782894</v>
      </c>
      <c r="F13" s="6">
        <f t="shared" si="1"/>
        <v>3560281.472436951</v>
      </c>
    </row>
    <row r="14" spans="1:6" ht="15" thickTop="1" x14ac:dyDescent="0.3"/>
    <row r="15" spans="1:6" x14ac:dyDescent="0.3">
      <c r="B15" s="1">
        <f>B8-B13</f>
        <v>0</v>
      </c>
      <c r="C15" s="1">
        <f t="shared" ref="C15:F15" si="2">C8-C13</f>
        <v>0</v>
      </c>
      <c r="D15" s="1">
        <f t="shared" si="2"/>
        <v>0</v>
      </c>
      <c r="E15" s="1">
        <f t="shared" si="2"/>
        <v>0</v>
      </c>
      <c r="F15" s="1">
        <f t="shared" si="2"/>
        <v>0</v>
      </c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2"/>
  <sheetViews>
    <sheetView showGridLines="0" workbookViewId="0">
      <pane ySplit="3" topLeftCell="A4" activePane="bottomLeft" state="frozen"/>
      <selection pane="bottomLeft" activeCell="B8" sqref="B8:F8"/>
    </sheetView>
  </sheetViews>
  <sheetFormatPr defaultRowHeight="14.4" x14ac:dyDescent="0.3"/>
  <cols>
    <col min="1" max="1" width="21.5546875" style="1" bestFit="1" customWidth="1"/>
    <col min="2" max="5" width="12" style="1" bestFit="1" customWidth="1"/>
    <col min="6" max="6" width="12.5546875" style="1" bestFit="1" customWidth="1"/>
    <col min="7" max="16384" width="8.88671875" style="1"/>
  </cols>
  <sheetData>
    <row r="1" spans="1:6" ht="21" x14ac:dyDescent="0.4">
      <c r="A1" s="101" t="s">
        <v>182</v>
      </c>
      <c r="B1" s="101"/>
      <c r="C1" s="101"/>
      <c r="D1" s="101"/>
      <c r="E1" s="101"/>
      <c r="F1" s="101"/>
    </row>
    <row r="3" spans="1:6" x14ac:dyDescent="0.3">
      <c r="A3" s="5" t="s">
        <v>78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</row>
    <row r="4" spans="1:6" x14ac:dyDescent="0.3">
      <c r="A4" s="1" t="str">
        <f>'Historical FS'!A29</f>
        <v>Net Income</v>
      </c>
      <c r="B4" s="1">
        <f>'Forecast IS'!B24</f>
        <v>300297</v>
      </c>
      <c r="C4" s="1">
        <f>'Forecast IS'!C24</f>
        <v>460502.03739369713</v>
      </c>
      <c r="D4" s="1">
        <f>'Forecast IS'!D24</f>
        <v>676070.22845510405</v>
      </c>
      <c r="E4" s="1">
        <f>'Forecast IS'!E24</f>
        <v>928273.71977492678</v>
      </c>
      <c r="F4" s="1">
        <f>'Forecast IS'!F24</f>
        <v>1220848.9725510546</v>
      </c>
    </row>
    <row r="5" spans="1:6" x14ac:dyDescent="0.3">
      <c r="A5" s="1" t="str">
        <f>'Historical FS'!A30</f>
        <v>Depreciation</v>
      </c>
      <c r="B5" s="1">
        <f>Depreciation!B6</f>
        <v>47500</v>
      </c>
      <c r="C5" s="1">
        <f>Depreciation!C6</f>
        <v>52750</v>
      </c>
      <c r="D5" s="1">
        <f>Depreciation!D6</f>
        <v>57475</v>
      </c>
      <c r="E5" s="1">
        <f>Depreciation!E6</f>
        <v>61727.5</v>
      </c>
      <c r="F5" s="1">
        <f>Depreciation!F6</f>
        <v>65554.75</v>
      </c>
    </row>
    <row r="6" spans="1:6" x14ac:dyDescent="0.3">
      <c r="A6" s="1" t="str">
        <f>'Historical FS'!A31</f>
        <v>Working Capital Change</v>
      </c>
      <c r="B6" s="1">
        <f>-'Working Capital'!B9</f>
        <v>53596</v>
      </c>
      <c r="C6" s="1">
        <f>-'Working Capital'!C9</f>
        <v>3153.4272000000055</v>
      </c>
      <c r="D6" s="1">
        <f>-'Working Capital'!D9</f>
        <v>1938.3664435200044</v>
      </c>
      <c r="E6" s="1">
        <f>-'Working Capital'!E9</f>
        <v>2014.2511898296361</v>
      </c>
      <c r="F6" s="1">
        <f>-'Working Capital'!F9</f>
        <v>2082.9320617321646</v>
      </c>
    </row>
    <row r="7" spans="1:6" x14ac:dyDescent="0.3">
      <c r="A7" s="12" t="str">
        <f>'Historical FS'!A32</f>
        <v>Operating CF</v>
      </c>
      <c r="B7" s="12">
        <f>B4+B5+B6</f>
        <v>401393</v>
      </c>
      <c r="C7" s="12">
        <f t="shared" ref="C7:F7" si="0">C4+C5+C6</f>
        <v>516405.46459369711</v>
      </c>
      <c r="D7" s="12">
        <f t="shared" si="0"/>
        <v>735483.59489862411</v>
      </c>
      <c r="E7" s="12">
        <f t="shared" si="0"/>
        <v>992015.47096475645</v>
      </c>
      <c r="F7" s="12">
        <f t="shared" si="0"/>
        <v>1288486.6546127866</v>
      </c>
    </row>
    <row r="8" spans="1:6" x14ac:dyDescent="0.3">
      <c r="A8" s="1" t="str">
        <f>'Historical FS'!A33</f>
        <v>Capex</v>
      </c>
      <c r="B8" s="23">
        <f>-Capex!B11</f>
        <v>-100000</v>
      </c>
      <c r="C8" s="23">
        <f>-Capex!C11</f>
        <v>-100000</v>
      </c>
      <c r="D8" s="23">
        <f>-Capex!D11</f>
        <v>-100000</v>
      </c>
      <c r="E8" s="23">
        <f>-Capex!E11</f>
        <v>-100000</v>
      </c>
      <c r="F8" s="23">
        <f>-Capex!F11</f>
        <v>-100000</v>
      </c>
    </row>
    <row r="9" spans="1:6" x14ac:dyDescent="0.3">
      <c r="A9" s="1" t="str">
        <f>'Historical FS'!A34</f>
        <v>Debt Movement</v>
      </c>
      <c r="B9" s="1">
        <f>500000-Debt!B18</f>
        <v>380000</v>
      </c>
      <c r="C9" s="23">
        <f>-Debt!C18</f>
        <v>-120000</v>
      </c>
      <c r="D9" s="23">
        <f>-Debt!D18</f>
        <v>-120000</v>
      </c>
      <c r="E9" s="23">
        <f>-Debt!E18</f>
        <v>-120000</v>
      </c>
      <c r="F9" s="23">
        <f>-Debt!F18</f>
        <v>-100000</v>
      </c>
    </row>
    <row r="10" spans="1:6" x14ac:dyDescent="0.3">
      <c r="A10" s="1" t="str">
        <f>'Historical FS'!A35</f>
        <v>Owner Contribution</v>
      </c>
      <c r="B10" s="23">
        <f>Equity!B5-Equity!B7</f>
        <v>-60059.4</v>
      </c>
      <c r="C10" s="23">
        <f>Equity!C5-Equity!C7</f>
        <v>-92100.407478739435</v>
      </c>
      <c r="D10" s="23">
        <f>Equity!D5-Equity!D7</f>
        <v>-135214.04569102082</v>
      </c>
      <c r="E10" s="23">
        <f>Equity!E5-Equity!E7</f>
        <v>-185654.74395498537</v>
      </c>
      <c r="F10" s="23">
        <f>Equity!F5-Equity!F7</f>
        <v>-244169.79451021092</v>
      </c>
    </row>
    <row r="11" spans="1:6" ht="15" thickBot="1" x14ac:dyDescent="0.35">
      <c r="A11" s="6" t="str">
        <f>'Historical FS'!A36</f>
        <v>Net Cash Change</v>
      </c>
      <c r="B11" s="6">
        <f>B7+B8+B9+B10</f>
        <v>621333.6</v>
      </c>
      <c r="C11" s="6">
        <f t="shared" ref="C11:F11" si="1">C7+C8+C9+C10</f>
        <v>204305.05711495766</v>
      </c>
      <c r="D11" s="6">
        <f t="shared" si="1"/>
        <v>380269.54920760333</v>
      </c>
      <c r="E11" s="6">
        <f t="shared" si="1"/>
        <v>586360.72700977104</v>
      </c>
      <c r="F11" s="6">
        <f t="shared" si="1"/>
        <v>844316.86010257574</v>
      </c>
    </row>
    <row r="12" spans="1:6" ht="15" thickTop="1" x14ac:dyDescent="0.3"/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showGridLines="0" workbookViewId="0">
      <pane ySplit="3" topLeftCell="A4" activePane="bottomLeft" state="frozen"/>
      <selection pane="bottomLeft" activeCell="A8" sqref="A8"/>
    </sheetView>
  </sheetViews>
  <sheetFormatPr defaultRowHeight="14.4" x14ac:dyDescent="0.3"/>
  <cols>
    <col min="1" max="1" width="41.6640625" style="2" bestFit="1" customWidth="1"/>
    <col min="2" max="4" width="12.33203125" style="2" bestFit="1" customWidth="1"/>
    <col min="5" max="16384" width="8.88671875" style="2"/>
  </cols>
  <sheetData>
    <row r="1" spans="1:4" ht="21" x14ac:dyDescent="0.4">
      <c r="A1" s="102" t="s">
        <v>172</v>
      </c>
      <c r="B1" s="102"/>
      <c r="C1" s="102"/>
      <c r="D1" s="102"/>
    </row>
    <row r="3" spans="1:4" x14ac:dyDescent="0.3">
      <c r="A3" s="10" t="s">
        <v>78</v>
      </c>
      <c r="B3" s="10" t="s">
        <v>79</v>
      </c>
      <c r="C3" s="10" t="s">
        <v>80</v>
      </c>
      <c r="D3" s="10" t="s">
        <v>81</v>
      </c>
    </row>
    <row r="4" spans="1:4" ht="16.2" x14ac:dyDescent="0.45">
      <c r="A4" s="35" t="s">
        <v>82</v>
      </c>
    </row>
    <row r="5" spans="1:4" x14ac:dyDescent="0.3">
      <c r="A5" s="2" t="s">
        <v>83</v>
      </c>
      <c r="B5" s="2">
        <v>1200000</v>
      </c>
      <c r="C5" s="2">
        <v>1450000</v>
      </c>
      <c r="D5" s="2">
        <v>1680000</v>
      </c>
    </row>
    <row r="6" spans="1:4" x14ac:dyDescent="0.3">
      <c r="A6" s="2" t="s">
        <v>19</v>
      </c>
      <c r="B6" s="2">
        <v>-420000</v>
      </c>
      <c r="C6" s="2">
        <v>-500000</v>
      </c>
      <c r="D6" s="2">
        <v>-575000</v>
      </c>
    </row>
    <row r="7" spans="1:4" x14ac:dyDescent="0.3">
      <c r="A7" s="2" t="s">
        <v>84</v>
      </c>
      <c r="B7" s="2">
        <f>B5+B6</f>
        <v>780000</v>
      </c>
      <c r="C7" s="2">
        <f>C5+C6</f>
        <v>950000</v>
      </c>
      <c r="D7" s="2">
        <f>D5+D6</f>
        <v>1105000</v>
      </c>
    </row>
    <row r="8" spans="1:4" x14ac:dyDescent="0.3">
      <c r="A8" s="2" t="s">
        <v>85</v>
      </c>
      <c r="B8" s="2">
        <v>-420000</v>
      </c>
      <c r="C8" s="2">
        <v>-485000</v>
      </c>
      <c r="D8" s="2">
        <v>-560000</v>
      </c>
    </row>
    <row r="9" spans="1:4" x14ac:dyDescent="0.3">
      <c r="A9" s="2" t="s">
        <v>86</v>
      </c>
      <c r="B9" s="2">
        <f>B7+B8</f>
        <v>360000</v>
      </c>
      <c r="C9" s="2">
        <f>C7+C8</f>
        <v>465000</v>
      </c>
      <c r="D9" s="2">
        <f>D7+D8</f>
        <v>545000</v>
      </c>
    </row>
    <row r="10" spans="1:4" x14ac:dyDescent="0.3">
      <c r="A10" s="2" t="s">
        <v>87</v>
      </c>
      <c r="B10" s="2">
        <v>-30000</v>
      </c>
      <c r="C10" s="2">
        <v>-35000</v>
      </c>
      <c r="D10" s="2">
        <v>-40000</v>
      </c>
    </row>
    <row r="11" spans="1:4" x14ac:dyDescent="0.3">
      <c r="A11" s="2" t="s">
        <v>88</v>
      </c>
      <c r="B11" s="2">
        <f>B9+B10</f>
        <v>330000</v>
      </c>
      <c r="C11" s="2">
        <f>C9+C10</f>
        <v>430000</v>
      </c>
      <c r="D11" s="2">
        <f>D9+D10</f>
        <v>505000</v>
      </c>
    </row>
    <row r="12" spans="1:4" x14ac:dyDescent="0.3">
      <c r="A12" s="2" t="s">
        <v>89</v>
      </c>
      <c r="B12" s="2">
        <v>-12000</v>
      </c>
      <c r="C12" s="2">
        <v>-10000</v>
      </c>
      <c r="D12" s="2">
        <v>-8000</v>
      </c>
    </row>
    <row r="13" spans="1:4" x14ac:dyDescent="0.3">
      <c r="A13" s="2" t="s">
        <v>90</v>
      </c>
      <c r="B13" s="2">
        <f>B11+B12</f>
        <v>318000</v>
      </c>
      <c r="C13" s="2">
        <f>C11+C12</f>
        <v>420000</v>
      </c>
      <c r="D13" s="2">
        <f>D11+D12</f>
        <v>497000</v>
      </c>
    </row>
    <row r="14" spans="1:4" x14ac:dyDescent="0.3">
      <c r="A14" s="2" t="s">
        <v>91</v>
      </c>
      <c r="B14" s="2">
        <v>-79500</v>
      </c>
      <c r="C14" s="2">
        <v>-105000</v>
      </c>
      <c r="D14" s="2">
        <v>-124000</v>
      </c>
    </row>
    <row r="15" spans="1:4" x14ac:dyDescent="0.3">
      <c r="A15" s="34" t="s">
        <v>92</v>
      </c>
      <c r="B15" s="34">
        <f>B13+B14</f>
        <v>238500</v>
      </c>
      <c r="C15" s="34">
        <f>C13+C14</f>
        <v>315000</v>
      </c>
      <c r="D15" s="34">
        <f>D13+D14</f>
        <v>373000</v>
      </c>
    </row>
    <row r="17" spans="1:4" ht="16.2" x14ac:dyDescent="0.45">
      <c r="A17" s="35" t="s">
        <v>93</v>
      </c>
    </row>
    <row r="18" spans="1:4" x14ac:dyDescent="0.3">
      <c r="A18" s="2" t="s">
        <v>94</v>
      </c>
      <c r="B18" s="2">
        <v>90000</v>
      </c>
      <c r="C18" s="2">
        <v>120000</v>
      </c>
      <c r="D18" s="2">
        <v>170000</v>
      </c>
    </row>
    <row r="19" spans="1:4" x14ac:dyDescent="0.3">
      <c r="A19" s="2" t="s">
        <v>95</v>
      </c>
      <c r="B19" s="2">
        <v>15000</v>
      </c>
      <c r="C19" s="2">
        <v>18000</v>
      </c>
      <c r="D19" s="2">
        <v>22000</v>
      </c>
    </row>
    <row r="20" spans="1:4" x14ac:dyDescent="0.3">
      <c r="A20" s="2" t="s">
        <v>96</v>
      </c>
      <c r="B20" s="2">
        <v>25000</v>
      </c>
      <c r="C20" s="2">
        <v>28000</v>
      </c>
      <c r="D20" s="2">
        <v>32000</v>
      </c>
    </row>
    <row r="21" spans="1:4" x14ac:dyDescent="0.3">
      <c r="A21" s="2" t="s">
        <v>97</v>
      </c>
      <c r="B21" s="2">
        <v>250000</v>
      </c>
      <c r="C21" s="2">
        <v>315000</v>
      </c>
      <c r="D21" s="2">
        <v>375000</v>
      </c>
    </row>
    <row r="22" spans="1:4" x14ac:dyDescent="0.3">
      <c r="A22" s="34" t="s">
        <v>98</v>
      </c>
      <c r="B22" s="34">
        <f>SUM(B18:B21)</f>
        <v>380000</v>
      </c>
      <c r="C22" s="34">
        <f>SUM(C18:C21)</f>
        <v>481000</v>
      </c>
      <c r="D22" s="34">
        <f>SUM(D18:D21)</f>
        <v>599000</v>
      </c>
    </row>
    <row r="23" spans="1:4" x14ac:dyDescent="0.3">
      <c r="A23" s="2" t="s">
        <v>99</v>
      </c>
      <c r="B23" s="2">
        <v>18000</v>
      </c>
      <c r="C23" s="2">
        <v>22000</v>
      </c>
      <c r="D23" s="2">
        <v>26000</v>
      </c>
    </row>
    <row r="24" spans="1:4" x14ac:dyDescent="0.3">
      <c r="A24" s="2" t="s">
        <v>100</v>
      </c>
      <c r="B24" s="2">
        <v>120000</v>
      </c>
      <c r="C24" s="2">
        <v>100000</v>
      </c>
      <c r="D24" s="2">
        <v>80000</v>
      </c>
    </row>
    <row r="25" spans="1:4" x14ac:dyDescent="0.3">
      <c r="A25" s="2" t="s">
        <v>101</v>
      </c>
      <c r="B25" s="2">
        <v>242000</v>
      </c>
      <c r="C25" s="2">
        <v>359000</v>
      </c>
      <c r="D25" s="2">
        <v>493000</v>
      </c>
    </row>
    <row r="26" spans="1:4" x14ac:dyDescent="0.3">
      <c r="A26" s="34" t="s">
        <v>102</v>
      </c>
      <c r="B26" s="34">
        <f>SUM(B23:B25)</f>
        <v>380000</v>
      </c>
      <c r="C26" s="34">
        <f>SUM(C23:C25)</f>
        <v>481000</v>
      </c>
      <c r="D26" s="34">
        <f>SUM(D23:D25)</f>
        <v>599000</v>
      </c>
    </row>
    <row r="28" spans="1:4" ht="16.2" x14ac:dyDescent="0.45">
      <c r="A28" s="35" t="s">
        <v>103</v>
      </c>
    </row>
    <row r="29" spans="1:4" x14ac:dyDescent="0.3">
      <c r="A29" s="2" t="s">
        <v>92</v>
      </c>
      <c r="B29" s="2">
        <f>B15</f>
        <v>238500</v>
      </c>
      <c r="C29" s="2">
        <f>C15</f>
        <v>315000</v>
      </c>
      <c r="D29" s="2">
        <f>D15</f>
        <v>373000</v>
      </c>
    </row>
    <row r="30" spans="1:4" x14ac:dyDescent="0.3">
      <c r="A30" s="2" t="s">
        <v>87</v>
      </c>
      <c r="B30" s="2">
        <v>30000</v>
      </c>
      <c r="C30" s="2">
        <v>35000</v>
      </c>
      <c r="D30" s="2">
        <v>40000</v>
      </c>
    </row>
    <row r="31" spans="1:4" x14ac:dyDescent="0.3">
      <c r="A31" s="2" t="s">
        <v>104</v>
      </c>
      <c r="B31" s="2">
        <v>-5000</v>
      </c>
      <c r="C31" s="2">
        <v>-4000</v>
      </c>
      <c r="D31" s="2">
        <v>-6000</v>
      </c>
    </row>
    <row r="32" spans="1:4" x14ac:dyDescent="0.3">
      <c r="A32" s="34" t="s">
        <v>105</v>
      </c>
      <c r="B32" s="34">
        <f>SUM(B29:B31)</f>
        <v>263500</v>
      </c>
      <c r="C32" s="34">
        <f>SUM(C29:C31)</f>
        <v>346000</v>
      </c>
      <c r="D32" s="34">
        <f>SUM(D29:D31)</f>
        <v>407000</v>
      </c>
    </row>
    <row r="33" spans="1:4" x14ac:dyDescent="0.3">
      <c r="A33" s="2" t="s">
        <v>106</v>
      </c>
      <c r="B33" s="2">
        <v>-100000</v>
      </c>
      <c r="C33" s="2">
        <v>-100000</v>
      </c>
      <c r="D33" s="2">
        <v>-100000</v>
      </c>
    </row>
    <row r="34" spans="1:4" x14ac:dyDescent="0.3">
      <c r="A34" s="2" t="s">
        <v>107</v>
      </c>
      <c r="B34" s="2">
        <v>20000</v>
      </c>
      <c r="C34" s="2">
        <v>-20000</v>
      </c>
      <c r="D34" s="2">
        <v>-20000</v>
      </c>
    </row>
    <row r="35" spans="1:4" x14ac:dyDescent="0.3">
      <c r="A35" s="2" t="s">
        <v>108</v>
      </c>
      <c r="B35" s="2">
        <v>50000</v>
      </c>
      <c r="C35" s="2">
        <v>0</v>
      </c>
      <c r="D35" s="2">
        <v>0</v>
      </c>
    </row>
    <row r="36" spans="1:4" x14ac:dyDescent="0.3">
      <c r="A36" s="34" t="s">
        <v>109</v>
      </c>
      <c r="B36" s="34">
        <f>SUM(B32:B35)</f>
        <v>233500</v>
      </c>
      <c r="C36" s="34">
        <f>SUM(C32:C35)</f>
        <v>226000</v>
      </c>
      <c r="D36" s="34">
        <f>SUM(D32:D35)</f>
        <v>287000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1125-D5B3-457C-A555-E704BE01E1B5}">
  <dimension ref="A2:F21"/>
  <sheetViews>
    <sheetView showGridLines="0" tabSelected="1" workbookViewId="0">
      <selection activeCell="D4" sqref="D4"/>
    </sheetView>
  </sheetViews>
  <sheetFormatPr defaultRowHeight="14.4" x14ac:dyDescent="0.3"/>
  <cols>
    <col min="1" max="1" width="8.88671875" style="2"/>
    <col min="2" max="2" width="19.33203125" style="2" bestFit="1" customWidth="1"/>
    <col min="3" max="3" width="19.109375" style="2" customWidth="1"/>
    <col min="4" max="4" width="16.21875" style="2" customWidth="1"/>
    <col min="5" max="16384" width="8.88671875" style="2"/>
  </cols>
  <sheetData>
    <row r="2" spans="1:6" ht="21" x14ac:dyDescent="0.4">
      <c r="A2" s="102" t="s">
        <v>319</v>
      </c>
      <c r="B2" s="102"/>
      <c r="C2" s="102"/>
      <c r="D2" s="102"/>
      <c r="E2" s="102"/>
      <c r="F2" s="102"/>
    </row>
    <row r="3" spans="1:6" s="107" customFormat="1" x14ac:dyDescent="0.3">
      <c r="B3" s="108"/>
      <c r="C3" s="108"/>
    </row>
    <row r="4" spans="1:6" s="107" customFormat="1" x14ac:dyDescent="0.3">
      <c r="B4" s="120" t="s">
        <v>324</v>
      </c>
      <c r="C4" s="119" t="s">
        <v>328</v>
      </c>
      <c r="D4" s="112" t="s">
        <v>336</v>
      </c>
    </row>
    <row r="5" spans="1:6" x14ac:dyDescent="0.3">
      <c r="B5" s="121"/>
      <c r="C5" s="118">
        <v>74817.893903404605</v>
      </c>
      <c r="D5" s="122">
        <f>IF(D4="Best Case",C5*(1+C19),IF(D4="Worst Case",C5*(1+D19),))</f>
        <v>67336.104513064143</v>
      </c>
    </row>
    <row r="6" spans="1:6" s="107" customFormat="1" x14ac:dyDescent="0.3">
      <c r="C6" s="113" t="s">
        <v>337</v>
      </c>
      <c r="D6" s="113" t="s">
        <v>335</v>
      </c>
    </row>
    <row r="7" spans="1:6" x14ac:dyDescent="0.3">
      <c r="B7" s="104" t="s">
        <v>124</v>
      </c>
      <c r="C7" s="105" t="s">
        <v>110</v>
      </c>
      <c r="D7" s="105" t="str">
        <f>D4</f>
        <v>Worst Case</v>
      </c>
    </row>
    <row r="8" spans="1:6" x14ac:dyDescent="0.3">
      <c r="B8" s="2" t="s">
        <v>320</v>
      </c>
      <c r="C8" s="114">
        <f>75</f>
        <v>75</v>
      </c>
      <c r="D8" s="114">
        <f>IF(D7="Best Case",C8*(1+C18),IF(D7="Worst Case",C8*(1+D18),))</f>
        <v>71.25</v>
      </c>
    </row>
    <row r="9" spans="1:6" x14ac:dyDescent="0.3">
      <c r="B9" s="2" t="s">
        <v>321</v>
      </c>
      <c r="C9" s="114">
        <f>'COGS Schedule'!B13</f>
        <v>24.48</v>
      </c>
      <c r="D9" s="114">
        <f>IF(D4="Best Case",C9*(1+C20),IF(D4="Worst Case",C9*(1+D20),))</f>
        <v>26.438400000000001</v>
      </c>
    </row>
    <row r="10" spans="1:6" x14ac:dyDescent="0.3">
      <c r="B10" s="109" t="s">
        <v>322</v>
      </c>
      <c r="C10" s="115">
        <f>C8-C9</f>
        <v>50.519999999999996</v>
      </c>
      <c r="D10" s="115">
        <f>D8-D9</f>
        <v>44.811599999999999</v>
      </c>
    </row>
    <row r="11" spans="1:6" x14ac:dyDescent="0.3">
      <c r="B11" s="106" t="s">
        <v>323</v>
      </c>
      <c r="C11" s="116">
        <f>C10*C5</f>
        <v>3779800.0000000005</v>
      </c>
      <c r="D11" s="116">
        <f>D10*D5</f>
        <v>3017438.5809976249</v>
      </c>
    </row>
    <row r="12" spans="1:6" x14ac:dyDescent="0.3">
      <c r="B12" s="2" t="s">
        <v>325</v>
      </c>
      <c r="C12" s="111">
        <f>'Operating Expenses'!B15+Payroll!D10</f>
        <v>2779800</v>
      </c>
      <c r="D12" s="111">
        <f>IF(D7="Best Case",C12*(1+C21),IF(D7="Worst Case",C12*(1+D21),))</f>
        <v>2918790</v>
      </c>
    </row>
    <row r="13" spans="1:6" ht="15" thickBot="1" x14ac:dyDescent="0.35">
      <c r="B13" s="110" t="s">
        <v>326</v>
      </c>
      <c r="C13" s="117">
        <f>C11-C12</f>
        <v>1000000.0000000005</v>
      </c>
      <c r="D13" s="117">
        <f>D11-D12</f>
        <v>98648.5809976249</v>
      </c>
    </row>
    <row r="14" spans="1:6" ht="15" thickTop="1" x14ac:dyDescent="0.3"/>
    <row r="15" spans="1:6" x14ac:dyDescent="0.3">
      <c r="B15" s="104" t="s">
        <v>327</v>
      </c>
    </row>
    <row r="17" spans="2:4" x14ac:dyDescent="0.3">
      <c r="B17" s="104" t="s">
        <v>1</v>
      </c>
      <c r="C17" s="104" t="s">
        <v>329</v>
      </c>
      <c r="D17" s="104" t="s">
        <v>330</v>
      </c>
    </row>
    <row r="18" spans="2:4" x14ac:dyDescent="0.3">
      <c r="B18" s="2" t="s">
        <v>331</v>
      </c>
      <c r="C18" s="3">
        <v>0.05</v>
      </c>
      <c r="D18" s="3">
        <v>-0.05</v>
      </c>
    </row>
    <row r="19" spans="2:4" x14ac:dyDescent="0.3">
      <c r="B19" s="2" t="s">
        <v>332</v>
      </c>
      <c r="C19" s="3">
        <v>0.1</v>
      </c>
      <c r="D19" s="3">
        <v>-0.1</v>
      </c>
    </row>
    <row r="20" spans="2:4" x14ac:dyDescent="0.3">
      <c r="B20" s="2" t="s">
        <v>333</v>
      </c>
      <c r="C20" s="3">
        <v>-0.02</v>
      </c>
      <c r="D20" s="3">
        <v>0.08</v>
      </c>
    </row>
    <row r="21" spans="2:4" x14ac:dyDescent="0.3">
      <c r="B21" s="2" t="s">
        <v>334</v>
      </c>
      <c r="C21" s="3">
        <v>0</v>
      </c>
      <c r="D21" s="3">
        <v>0.05</v>
      </c>
    </row>
  </sheetData>
  <mergeCells count="2">
    <mergeCell ref="A2:F2"/>
    <mergeCell ref="B4:B5"/>
  </mergeCells>
  <phoneticPr fontId="6" type="noConversion"/>
  <dataValidations count="2">
    <dataValidation type="custom" allowBlank="1" showInputMessage="1" showErrorMessage="1" prompt="Enter volume figure here_x000a_" sqref="C5" xr:uid="{8A5DB091-449F-4D88-B1F9-AD9A81D556DB}">
      <formula1>C5</formula1>
    </dataValidation>
    <dataValidation type="list" allowBlank="1" showInputMessage="1" showErrorMessage="1" sqref="D4" xr:uid="{179C28A9-FF84-48FD-AF35-7CA2C500FB46}">
      <formula1>"(Select Case Here), Best Case, Worst Case"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showGridLines="0" workbookViewId="0">
      <pane ySplit="3" topLeftCell="A4" activePane="bottomLeft" state="frozen"/>
      <selection pane="bottomLeft" sqref="A1:F6"/>
    </sheetView>
  </sheetViews>
  <sheetFormatPr defaultColWidth="9" defaultRowHeight="14.4" x14ac:dyDescent="0.3"/>
  <cols>
    <col min="1" max="1" width="25.77734375" style="1" bestFit="1" customWidth="1"/>
    <col min="2" max="6" width="12.5546875" style="1" bestFit="1" customWidth="1"/>
    <col min="7" max="16384" width="9" style="1"/>
  </cols>
  <sheetData>
    <row r="1" spans="1:6" ht="21" x14ac:dyDescent="0.4">
      <c r="A1" s="101" t="s">
        <v>173</v>
      </c>
      <c r="B1" s="101"/>
      <c r="C1" s="101"/>
      <c r="D1" s="101"/>
      <c r="E1" s="101"/>
      <c r="F1" s="101"/>
    </row>
    <row r="3" spans="1:6" x14ac:dyDescent="0.3">
      <c r="A3" s="5" t="s">
        <v>78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</row>
    <row r="4" spans="1:6" x14ac:dyDescent="0.3">
      <c r="A4" s="1" t="s">
        <v>126</v>
      </c>
      <c r="B4" s="1">
        <f>Assumptions!C9*Assumptions!C14</f>
        <v>64800</v>
      </c>
      <c r="C4" s="1">
        <f>B4*1.08</f>
        <v>69984</v>
      </c>
      <c r="D4" s="1">
        <f t="shared" ref="D4:F4" si="0">C4*1.08</f>
        <v>75582.720000000001</v>
      </c>
      <c r="E4" s="1">
        <f t="shared" si="0"/>
        <v>81629.337600000013</v>
      </c>
      <c r="F4" s="1">
        <f t="shared" si="0"/>
        <v>88159.684608000025</v>
      </c>
    </row>
    <row r="5" spans="1:6" x14ac:dyDescent="0.3">
      <c r="A5" s="1" t="s">
        <v>127</v>
      </c>
      <c r="B5" s="1">
        <f>Assumptions!C11</f>
        <v>75</v>
      </c>
      <c r="C5" s="1">
        <f>B5*1.04</f>
        <v>78</v>
      </c>
      <c r="D5" s="1">
        <f t="shared" ref="D5:F5" si="1">C5*1.04</f>
        <v>81.12</v>
      </c>
      <c r="E5" s="1">
        <f t="shared" si="1"/>
        <v>84.364800000000002</v>
      </c>
      <c r="F5" s="1">
        <f t="shared" si="1"/>
        <v>87.739392000000009</v>
      </c>
    </row>
    <row r="6" spans="1:6" ht="15" thickBot="1" x14ac:dyDescent="0.35">
      <c r="A6" s="6" t="s">
        <v>83</v>
      </c>
      <c r="B6" s="6">
        <f>B4*B5</f>
        <v>4860000</v>
      </c>
      <c r="C6" s="6">
        <f t="shared" ref="C6:F6" si="2">C4*C5</f>
        <v>5458752</v>
      </c>
      <c r="D6" s="6">
        <f t="shared" si="2"/>
        <v>6131270.2464000005</v>
      </c>
      <c r="E6" s="6">
        <f t="shared" si="2"/>
        <v>6886642.740756481</v>
      </c>
      <c r="F6" s="6">
        <f t="shared" si="2"/>
        <v>7735077.1264176816</v>
      </c>
    </row>
    <row r="7" spans="1:6" ht="15" thickTop="1" x14ac:dyDescent="0.3"/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workbookViewId="0">
      <pane ySplit="3" topLeftCell="A4" activePane="bottomLeft" state="frozen"/>
      <selection pane="bottomLeft" sqref="A1:F15"/>
    </sheetView>
  </sheetViews>
  <sheetFormatPr defaultRowHeight="14.4" x14ac:dyDescent="0.3"/>
  <cols>
    <col min="1" max="1" width="26.5546875" style="1" bestFit="1" customWidth="1"/>
    <col min="2" max="6" width="12.5546875" style="1" bestFit="1" customWidth="1"/>
    <col min="7" max="16384" width="8.88671875" style="1"/>
  </cols>
  <sheetData>
    <row r="1" spans="1:6" ht="21" x14ac:dyDescent="0.4">
      <c r="A1" s="101" t="s">
        <v>174</v>
      </c>
      <c r="B1" s="101"/>
      <c r="C1" s="101"/>
      <c r="D1" s="101"/>
      <c r="E1" s="101"/>
      <c r="F1" s="101"/>
    </row>
    <row r="3" spans="1:6" x14ac:dyDescent="0.3">
      <c r="A3" s="5" t="s">
        <v>115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</row>
    <row r="4" spans="1:6" x14ac:dyDescent="0.3">
      <c r="A4" s="1" t="str">
        <f>Assumptions!B16</f>
        <v>Tea Powder/Customer</v>
      </c>
      <c r="B4" s="1">
        <f>Assumptions!C16</f>
        <v>4</v>
      </c>
      <c r="C4" s="1">
        <f>B4*1.04</f>
        <v>4.16</v>
      </c>
      <c r="D4" s="1">
        <f t="shared" ref="D4:F4" si="0">C4*1.02</f>
        <v>4.2431999999999999</v>
      </c>
      <c r="E4" s="1">
        <f t="shared" si="0"/>
        <v>4.3280640000000004</v>
      </c>
      <c r="F4" s="1">
        <f t="shared" si="0"/>
        <v>4.4146252800000001</v>
      </c>
    </row>
    <row r="5" spans="1:6" x14ac:dyDescent="0.3">
      <c r="A5" s="1" t="str">
        <f>Assumptions!B17</f>
        <v>Milk/Customer</v>
      </c>
      <c r="B5" s="1">
        <f>Assumptions!C17</f>
        <v>8</v>
      </c>
      <c r="C5" s="1">
        <f t="shared" ref="C5:C10" si="1">B5*1.04</f>
        <v>8.32</v>
      </c>
      <c r="D5" s="1">
        <f t="shared" ref="D5:F10" si="2">C5*1.02</f>
        <v>8.4863999999999997</v>
      </c>
      <c r="E5" s="1">
        <f t="shared" si="2"/>
        <v>8.6561280000000007</v>
      </c>
      <c r="F5" s="1">
        <f t="shared" si="2"/>
        <v>8.8292505600000002</v>
      </c>
    </row>
    <row r="6" spans="1:6" x14ac:dyDescent="0.3">
      <c r="A6" s="1" t="str">
        <f>Assumptions!B18</f>
        <v>Sugar/Customer</v>
      </c>
      <c r="B6" s="1">
        <f>Assumptions!C18</f>
        <v>2</v>
      </c>
      <c r="C6" s="1">
        <f t="shared" si="1"/>
        <v>2.08</v>
      </c>
      <c r="D6" s="1">
        <f t="shared" si="2"/>
        <v>2.1215999999999999</v>
      </c>
      <c r="E6" s="1">
        <f t="shared" si="2"/>
        <v>2.1640320000000002</v>
      </c>
      <c r="F6" s="1">
        <f t="shared" si="2"/>
        <v>2.20731264</v>
      </c>
    </row>
    <row r="7" spans="1:6" x14ac:dyDescent="0.3">
      <c r="A7" s="1" t="str">
        <f>Assumptions!B19</f>
        <v>Spices/Customer</v>
      </c>
      <c r="B7" s="1">
        <f>Assumptions!C19</f>
        <v>2</v>
      </c>
      <c r="C7" s="1">
        <f t="shared" si="1"/>
        <v>2.08</v>
      </c>
      <c r="D7" s="1">
        <f t="shared" si="2"/>
        <v>2.1215999999999999</v>
      </c>
      <c r="E7" s="1">
        <f t="shared" si="2"/>
        <v>2.1640320000000002</v>
      </c>
      <c r="F7" s="1">
        <f t="shared" si="2"/>
        <v>2.20731264</v>
      </c>
    </row>
    <row r="8" spans="1:6" x14ac:dyDescent="0.3">
      <c r="A8" s="1" t="str">
        <f>Assumptions!B20</f>
        <v>Packaging/Customer</v>
      </c>
      <c r="B8" s="1">
        <f>Assumptions!C20</f>
        <v>3</v>
      </c>
      <c r="C8" s="1">
        <f t="shared" si="1"/>
        <v>3.12</v>
      </c>
      <c r="D8" s="1">
        <f t="shared" si="2"/>
        <v>3.1824000000000003</v>
      </c>
      <c r="E8" s="1">
        <f t="shared" si="2"/>
        <v>3.2460480000000005</v>
      </c>
      <c r="F8" s="1">
        <f t="shared" si="2"/>
        <v>3.3109689600000007</v>
      </c>
    </row>
    <row r="9" spans="1:6" x14ac:dyDescent="0.3">
      <c r="A9" s="1" t="str">
        <f>Assumptions!B21</f>
        <v>Snacks Ingredients/Customer</v>
      </c>
      <c r="B9" s="1">
        <f>Assumptions!C21</f>
        <v>5</v>
      </c>
      <c r="C9" s="1">
        <f t="shared" si="1"/>
        <v>5.2</v>
      </c>
      <c r="D9" s="1">
        <f t="shared" si="2"/>
        <v>5.3040000000000003</v>
      </c>
      <c r="E9" s="1">
        <f t="shared" si="2"/>
        <v>5.4100800000000007</v>
      </c>
      <c r="F9" s="1">
        <f t="shared" si="2"/>
        <v>5.5182816000000008</v>
      </c>
    </row>
    <row r="10" spans="1:6" x14ac:dyDescent="0.3">
      <c r="A10" s="1" t="s">
        <v>128</v>
      </c>
      <c r="B10" s="1">
        <f>SUM(B4:B9)</f>
        <v>24</v>
      </c>
      <c r="C10" s="1">
        <f t="shared" si="1"/>
        <v>24.96</v>
      </c>
      <c r="D10" s="1">
        <f t="shared" si="2"/>
        <v>25.459200000000003</v>
      </c>
      <c r="E10" s="1">
        <f t="shared" si="2"/>
        <v>25.968384000000004</v>
      </c>
      <c r="F10" s="1">
        <f t="shared" si="2"/>
        <v>26.487751680000006</v>
      </c>
    </row>
    <row r="11" spans="1:6" x14ac:dyDescent="0.3">
      <c r="A11" s="1" t="str">
        <f>Assumptions!B22</f>
        <v>Wastage (%)</v>
      </c>
      <c r="B11" s="7" t="str">
        <f>Assumptions!C22</f>
        <v>2%</v>
      </c>
      <c r="C11" s="7" t="str">
        <f>B11</f>
        <v>2%</v>
      </c>
      <c r="D11" s="7" t="str">
        <f t="shared" ref="D11:F11" si="3">C11</f>
        <v>2%</v>
      </c>
      <c r="E11" s="7" t="str">
        <f t="shared" si="3"/>
        <v>2%</v>
      </c>
      <c r="F11" s="7" t="str">
        <f t="shared" si="3"/>
        <v>2%</v>
      </c>
    </row>
    <row r="12" spans="1:6" x14ac:dyDescent="0.3">
      <c r="A12" s="1" t="s">
        <v>130</v>
      </c>
      <c r="B12" s="1">
        <f>B10*B11</f>
        <v>0.48</v>
      </c>
      <c r="C12" s="1">
        <f>C10*C11</f>
        <v>0.49920000000000003</v>
      </c>
      <c r="D12" s="1">
        <f t="shared" ref="D12:F12" si="4">D10*D11</f>
        <v>0.50918400000000008</v>
      </c>
      <c r="E12" s="1">
        <f t="shared" si="4"/>
        <v>0.51936768000000011</v>
      </c>
      <c r="F12" s="1">
        <f t="shared" si="4"/>
        <v>0.52975503360000009</v>
      </c>
    </row>
    <row r="13" spans="1:6" x14ac:dyDescent="0.3">
      <c r="A13" s="1" t="s">
        <v>131</v>
      </c>
      <c r="B13" s="1">
        <f>B10+B12</f>
        <v>24.48</v>
      </c>
      <c r="C13" s="1">
        <f t="shared" ref="C13:F13" si="5">C10+C12</f>
        <v>25.459199999999999</v>
      </c>
      <c r="D13" s="1">
        <f t="shared" si="5"/>
        <v>25.968384000000004</v>
      </c>
      <c r="E13" s="1">
        <f t="shared" si="5"/>
        <v>26.487751680000002</v>
      </c>
      <c r="F13" s="1">
        <f t="shared" si="5"/>
        <v>27.017506713600007</v>
      </c>
    </row>
    <row r="14" spans="1:6" x14ac:dyDescent="0.3">
      <c r="A14" s="1" t="s">
        <v>132</v>
      </c>
      <c r="B14" s="1">
        <f>'Revenue Schedule'!B4</f>
        <v>64800</v>
      </c>
      <c r="C14" s="1">
        <f>'Revenue Schedule'!C4</f>
        <v>69984</v>
      </c>
      <c r="D14" s="1">
        <f>'Revenue Schedule'!D4</f>
        <v>75582.720000000001</v>
      </c>
      <c r="E14" s="1">
        <f>'Revenue Schedule'!E4</f>
        <v>81629.337600000013</v>
      </c>
      <c r="F14" s="1">
        <f>'Revenue Schedule'!F4</f>
        <v>88159.684608000025</v>
      </c>
    </row>
    <row r="15" spans="1:6" ht="15" thickBot="1" x14ac:dyDescent="0.35">
      <c r="A15" s="6" t="s">
        <v>19</v>
      </c>
      <c r="B15" s="6">
        <f>B14*B13</f>
        <v>1586304</v>
      </c>
      <c r="C15" s="6">
        <f t="shared" ref="C15:F15" si="6">C14*C13</f>
        <v>1781736.6528</v>
      </c>
      <c r="D15" s="6">
        <f t="shared" si="6"/>
        <v>1962761.0967244804</v>
      </c>
      <c r="E15" s="6">
        <f t="shared" si="6"/>
        <v>2162177.6241516876</v>
      </c>
      <c r="F15" s="6">
        <f t="shared" si="6"/>
        <v>2381854.8707654998</v>
      </c>
    </row>
    <row r="16" spans="1:6" ht="15" thickTop="1" x14ac:dyDescent="0.3"/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showGridLines="0" workbookViewId="0">
      <pane ySplit="3" topLeftCell="A4" activePane="bottomLeft" state="frozen"/>
      <selection pane="bottomLeft" activeCell="C4" sqref="C4"/>
    </sheetView>
  </sheetViews>
  <sheetFormatPr defaultRowHeight="14.4" x14ac:dyDescent="0.3"/>
  <cols>
    <col min="1" max="1" width="26.21875" bestFit="1" customWidth="1"/>
    <col min="2" max="6" width="12.33203125" bestFit="1" customWidth="1"/>
  </cols>
  <sheetData>
    <row r="1" spans="1:6" ht="21" x14ac:dyDescent="0.4">
      <c r="A1" s="97" t="s">
        <v>85</v>
      </c>
      <c r="B1" s="97"/>
      <c r="C1" s="97"/>
      <c r="D1" s="97"/>
      <c r="E1" s="97"/>
      <c r="F1" s="97"/>
    </row>
    <row r="3" spans="1:6" x14ac:dyDescent="0.3">
      <c r="A3" s="8" t="s">
        <v>116</v>
      </c>
      <c r="B3" s="8" t="s">
        <v>110</v>
      </c>
      <c r="C3" s="8" t="s">
        <v>111</v>
      </c>
      <c r="D3" s="8" t="s">
        <v>112</v>
      </c>
      <c r="E3" s="8" t="s">
        <v>113</v>
      </c>
      <c r="F3" s="8" t="s">
        <v>114</v>
      </c>
    </row>
    <row r="4" spans="1:6" x14ac:dyDescent="0.3">
      <c r="A4" s="4" t="str">
        <f>Assumptions!B37</f>
        <v>Annual Rent</v>
      </c>
      <c r="B4" s="4">
        <f>Assumptions!C37</f>
        <v>600000</v>
      </c>
      <c r="C4" s="4">
        <f>B4*1.05</f>
        <v>630000</v>
      </c>
      <c r="D4" s="4">
        <f t="shared" ref="D4:F4" si="0">C4*1.05</f>
        <v>661500</v>
      </c>
      <c r="E4" s="4">
        <f t="shared" si="0"/>
        <v>694575</v>
      </c>
      <c r="F4" s="4">
        <f t="shared" si="0"/>
        <v>729303.75</v>
      </c>
    </row>
    <row r="5" spans="1:6" x14ac:dyDescent="0.3">
      <c r="A5" s="4" t="str">
        <f>Assumptions!B38</f>
        <v>Electricity</v>
      </c>
      <c r="B5" s="4">
        <f>Assumptions!C38</f>
        <v>200000</v>
      </c>
      <c r="C5" s="4">
        <f t="shared" ref="C5:F8" si="1">B5*1.05</f>
        <v>210000</v>
      </c>
      <c r="D5" s="4">
        <f t="shared" si="1"/>
        <v>220500</v>
      </c>
      <c r="E5" s="4">
        <f t="shared" si="1"/>
        <v>231525</v>
      </c>
      <c r="F5" s="4">
        <f t="shared" si="1"/>
        <v>243101.25</v>
      </c>
    </row>
    <row r="6" spans="1:6" x14ac:dyDescent="0.3">
      <c r="A6" s="4" t="str">
        <f>Assumptions!B39</f>
        <v>LPG</v>
      </c>
      <c r="B6" s="4">
        <f>Assumptions!C39</f>
        <v>60000</v>
      </c>
      <c r="C6" s="4">
        <f t="shared" si="1"/>
        <v>63000</v>
      </c>
      <c r="D6" s="4">
        <f t="shared" si="1"/>
        <v>66150</v>
      </c>
      <c r="E6" s="4">
        <f t="shared" si="1"/>
        <v>69457.5</v>
      </c>
      <c r="F6" s="4">
        <f t="shared" si="1"/>
        <v>72930.375</v>
      </c>
    </row>
    <row r="7" spans="1:6" x14ac:dyDescent="0.3">
      <c r="A7" s="4" t="str">
        <f>Assumptions!B40</f>
        <v>Water</v>
      </c>
      <c r="B7" s="4">
        <f>Assumptions!C40</f>
        <v>36000</v>
      </c>
      <c r="C7" s="4">
        <f t="shared" si="1"/>
        <v>37800</v>
      </c>
      <c r="D7" s="4">
        <f t="shared" si="1"/>
        <v>39690</v>
      </c>
      <c r="E7" s="4">
        <f t="shared" si="1"/>
        <v>41674.5</v>
      </c>
      <c r="F7" s="4">
        <f t="shared" si="1"/>
        <v>43758.224999999999</v>
      </c>
    </row>
    <row r="8" spans="1:6" x14ac:dyDescent="0.3">
      <c r="A8" s="4" t="str">
        <f>Assumptions!B41</f>
        <v>Internet</v>
      </c>
      <c r="B8" s="4">
        <f>Assumptions!C41</f>
        <v>18000</v>
      </c>
      <c r="C8" s="4">
        <f t="shared" si="1"/>
        <v>18900</v>
      </c>
      <c r="D8" s="4">
        <f t="shared" si="1"/>
        <v>19845</v>
      </c>
      <c r="E8" s="4">
        <f t="shared" si="1"/>
        <v>20837.25</v>
      </c>
      <c r="F8" s="4">
        <f t="shared" si="1"/>
        <v>21879.112499999999</v>
      </c>
    </row>
    <row r="9" spans="1:6" x14ac:dyDescent="0.3">
      <c r="A9" s="4" t="str">
        <f>Assumptions!B42</f>
        <v>Marketing</v>
      </c>
      <c r="B9" s="4">
        <f>3%*'Revenue Schedule'!B6</f>
        <v>145800</v>
      </c>
      <c r="C9" s="4">
        <f>3%*'Revenue Schedule'!C6</f>
        <v>163762.56</v>
      </c>
      <c r="D9" s="4">
        <f>3%*'Revenue Schedule'!D6</f>
        <v>183938.10739200001</v>
      </c>
      <c r="E9" s="4">
        <f>3%*'Revenue Schedule'!E6</f>
        <v>206599.28222269443</v>
      </c>
      <c r="F9" s="4">
        <f>3%*'Revenue Schedule'!F6</f>
        <v>232052.31379253045</v>
      </c>
    </row>
    <row r="10" spans="1:6" x14ac:dyDescent="0.3">
      <c r="A10" s="4" t="str">
        <f>Assumptions!B43</f>
        <v>Repairs</v>
      </c>
      <c r="B10" s="4">
        <f>Assumptions!C43</f>
        <v>50000</v>
      </c>
      <c r="C10" s="4">
        <f>B10*1.05</f>
        <v>52500</v>
      </c>
      <c r="D10" s="4">
        <f t="shared" ref="D10:F10" si="2">C10*1.05</f>
        <v>55125</v>
      </c>
      <c r="E10" s="4">
        <f t="shared" si="2"/>
        <v>57881.25</v>
      </c>
      <c r="F10" s="4">
        <f t="shared" si="2"/>
        <v>60775.3125</v>
      </c>
    </row>
    <row r="11" spans="1:6" x14ac:dyDescent="0.3">
      <c r="A11" s="4" t="str">
        <f>Assumptions!B44</f>
        <v>Insurance</v>
      </c>
      <c r="B11" s="4">
        <f>Assumptions!C44</f>
        <v>24000</v>
      </c>
      <c r="C11" s="4">
        <f t="shared" ref="C11:F13" si="3">B11*1.05</f>
        <v>25200</v>
      </c>
      <c r="D11" s="4">
        <f t="shared" si="3"/>
        <v>26460</v>
      </c>
      <c r="E11" s="4">
        <f t="shared" si="3"/>
        <v>27783</v>
      </c>
      <c r="F11" s="4">
        <f t="shared" si="3"/>
        <v>29172.15</v>
      </c>
    </row>
    <row r="12" spans="1:6" x14ac:dyDescent="0.3">
      <c r="A12" s="4" t="str">
        <f>Assumptions!B45</f>
        <v>Office Expense</v>
      </c>
      <c r="B12" s="4">
        <f>Assumptions!C45</f>
        <v>36000</v>
      </c>
      <c r="C12" s="4">
        <f t="shared" si="3"/>
        <v>37800</v>
      </c>
      <c r="D12" s="4">
        <f t="shared" si="3"/>
        <v>39690</v>
      </c>
      <c r="E12" s="4">
        <f t="shared" si="3"/>
        <v>41674.5</v>
      </c>
      <c r="F12" s="4">
        <f t="shared" si="3"/>
        <v>43758.224999999999</v>
      </c>
    </row>
    <row r="13" spans="1:6" x14ac:dyDescent="0.3">
      <c r="A13" s="4" t="str">
        <f>Assumptions!B46</f>
        <v>Miscellaneous</v>
      </c>
      <c r="B13" s="4">
        <f>Assumptions!C46</f>
        <v>50000</v>
      </c>
      <c r="C13" s="4">
        <f t="shared" si="3"/>
        <v>52500</v>
      </c>
      <c r="D13" s="4">
        <f t="shared" si="3"/>
        <v>55125</v>
      </c>
      <c r="E13" s="4">
        <f t="shared" si="3"/>
        <v>57881.25</v>
      </c>
      <c r="F13" s="4">
        <f t="shared" si="3"/>
        <v>60775.3125</v>
      </c>
    </row>
    <row r="14" spans="1:6" x14ac:dyDescent="0.3">
      <c r="A14" s="4"/>
    </row>
    <row r="15" spans="1:6" ht="15" thickBot="1" x14ac:dyDescent="0.35">
      <c r="A15" s="9" t="s">
        <v>85</v>
      </c>
      <c r="B15" s="9">
        <f>SUM(B4:B14)</f>
        <v>1219800</v>
      </c>
      <c r="C15" s="9">
        <f t="shared" ref="C15:F15" si="4">SUM(C4:C14)</f>
        <v>1291462.56</v>
      </c>
      <c r="D15" s="9">
        <f t="shared" si="4"/>
        <v>1368023.107392</v>
      </c>
      <c r="E15" s="9">
        <f t="shared" si="4"/>
        <v>1449888.5322226945</v>
      </c>
      <c r="F15" s="9">
        <f t="shared" si="4"/>
        <v>1537506.0262925306</v>
      </c>
    </row>
    <row r="16" spans="1:6" ht="15" thickTop="1" x14ac:dyDescent="0.3"/>
  </sheetData>
  <mergeCells count="1">
    <mergeCell ref="A1:F1"/>
  </mergeCells>
  <pageMargins left="0.75" right="0.75" top="1" bottom="1" header="0.5" footer="0.5"/>
  <ignoredErrors>
    <ignoredError sqref="C9:F9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showGridLines="0" workbookViewId="0">
      <pane ySplit="3" topLeftCell="A4" activePane="bottomLeft" state="frozen"/>
      <selection pane="bottomLeft" sqref="A1:H10"/>
    </sheetView>
  </sheetViews>
  <sheetFormatPr defaultRowHeight="14.4" x14ac:dyDescent="0.3"/>
  <cols>
    <col min="1" max="1" width="16.5546875" style="1" bestFit="1" customWidth="1"/>
    <col min="2" max="2" width="11.109375" style="1" bestFit="1" customWidth="1"/>
    <col min="3" max="3" width="14.77734375" style="1" bestFit="1" customWidth="1"/>
    <col min="4" max="8" width="12.5546875" style="1" bestFit="1" customWidth="1"/>
    <col min="9" max="16384" width="8.88671875" style="1"/>
  </cols>
  <sheetData>
    <row r="1" spans="1:8" ht="21" x14ac:dyDescent="0.4">
      <c r="A1" s="101" t="s">
        <v>170</v>
      </c>
      <c r="B1" s="101"/>
      <c r="C1" s="101"/>
      <c r="D1" s="101"/>
      <c r="E1" s="101"/>
      <c r="F1" s="101"/>
      <c r="G1" s="101"/>
      <c r="H1" s="101"/>
    </row>
    <row r="3" spans="1:8" x14ac:dyDescent="0.3">
      <c r="A3" s="5" t="s">
        <v>117</v>
      </c>
      <c r="B3" s="5" t="s">
        <v>118</v>
      </c>
      <c r="C3" s="5" t="s">
        <v>119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</row>
    <row r="4" spans="1:8" x14ac:dyDescent="0.3">
      <c r="A4" s="1" t="str">
        <f>Assumptions!B25</f>
        <v>Manager Salary</v>
      </c>
      <c r="B4" s="1">
        <f>Assumptions!C30</f>
        <v>1</v>
      </c>
      <c r="C4" s="1">
        <f>Assumptions!C25</f>
        <v>30000</v>
      </c>
      <c r="D4" s="1">
        <f>C4*B4*12</f>
        <v>360000</v>
      </c>
      <c r="E4" s="1">
        <f>D4*1.08</f>
        <v>388800</v>
      </c>
      <c r="F4" s="1">
        <f t="shared" ref="F4:H4" si="0">E4*1.08</f>
        <v>419904</v>
      </c>
      <c r="G4" s="1">
        <f t="shared" si="0"/>
        <v>453496.32000000001</v>
      </c>
      <c r="H4" s="1">
        <f t="shared" si="0"/>
        <v>489776.02560000005</v>
      </c>
    </row>
    <row r="5" spans="1:8" x14ac:dyDescent="0.3">
      <c r="A5" s="1" t="str">
        <f>Assumptions!B26</f>
        <v>Cashier Salary</v>
      </c>
      <c r="B5" s="1">
        <f>Assumptions!C31</f>
        <v>1</v>
      </c>
      <c r="C5" s="1">
        <f>Assumptions!C26</f>
        <v>18000</v>
      </c>
      <c r="D5" s="1">
        <f t="shared" ref="D5:D8" si="1">C5*B5*12</f>
        <v>216000</v>
      </c>
      <c r="E5" s="1">
        <f t="shared" ref="E5:H8" si="2">D5*1.08</f>
        <v>233280.00000000003</v>
      </c>
      <c r="F5" s="1">
        <f t="shared" si="2"/>
        <v>251942.40000000005</v>
      </c>
      <c r="G5" s="1">
        <f t="shared" si="2"/>
        <v>272097.79200000007</v>
      </c>
      <c r="H5" s="1">
        <f t="shared" si="2"/>
        <v>293865.61536000011</v>
      </c>
    </row>
    <row r="6" spans="1:8" x14ac:dyDescent="0.3">
      <c r="A6" s="1" t="str">
        <f>Assumptions!B27</f>
        <v>Tea Master Salary</v>
      </c>
      <c r="B6" s="1">
        <f>Assumptions!C32</f>
        <v>2</v>
      </c>
      <c r="C6" s="1">
        <f>Assumptions!C27</f>
        <v>20000</v>
      </c>
      <c r="D6" s="1">
        <f t="shared" si="1"/>
        <v>480000</v>
      </c>
      <c r="E6" s="1">
        <f t="shared" si="2"/>
        <v>518400.00000000006</v>
      </c>
      <c r="F6" s="1">
        <f t="shared" si="2"/>
        <v>559872.00000000012</v>
      </c>
      <c r="G6" s="1">
        <f t="shared" si="2"/>
        <v>604661.76000000013</v>
      </c>
      <c r="H6" s="1">
        <f t="shared" si="2"/>
        <v>653034.70080000022</v>
      </c>
    </row>
    <row r="7" spans="1:8" x14ac:dyDescent="0.3">
      <c r="A7" s="1" t="str">
        <f>Assumptions!B28</f>
        <v>Helper Salary</v>
      </c>
      <c r="B7" s="1">
        <f>Assumptions!C33</f>
        <v>2</v>
      </c>
      <c r="C7" s="1">
        <f>Assumptions!C28</f>
        <v>15000</v>
      </c>
      <c r="D7" s="1">
        <f t="shared" si="1"/>
        <v>360000</v>
      </c>
      <c r="E7" s="1">
        <f t="shared" si="2"/>
        <v>388800</v>
      </c>
      <c r="F7" s="1">
        <f t="shared" si="2"/>
        <v>419904</v>
      </c>
      <c r="G7" s="1">
        <f t="shared" si="2"/>
        <v>453496.32000000001</v>
      </c>
      <c r="H7" s="1">
        <f t="shared" si="2"/>
        <v>489776.02560000005</v>
      </c>
    </row>
    <row r="8" spans="1:8" x14ac:dyDescent="0.3">
      <c r="A8" s="1" t="str">
        <f>Assumptions!B29</f>
        <v>Cleaner Salary</v>
      </c>
      <c r="B8" s="1">
        <f>Assumptions!C34</f>
        <v>1</v>
      </c>
      <c r="C8" s="1">
        <f>Assumptions!C29</f>
        <v>12000</v>
      </c>
      <c r="D8" s="1">
        <f t="shared" si="1"/>
        <v>144000</v>
      </c>
      <c r="E8" s="1">
        <f t="shared" si="2"/>
        <v>155520</v>
      </c>
      <c r="F8" s="1">
        <f t="shared" si="2"/>
        <v>167961.60000000001</v>
      </c>
      <c r="G8" s="1">
        <f t="shared" si="2"/>
        <v>181398.52800000002</v>
      </c>
      <c r="H8" s="1">
        <f t="shared" si="2"/>
        <v>195910.41024000003</v>
      </c>
    </row>
    <row r="10" spans="1:8" ht="15" thickBot="1" x14ac:dyDescent="0.35">
      <c r="A10" s="6" t="s">
        <v>134</v>
      </c>
      <c r="B10" s="6"/>
      <c r="C10" s="6"/>
      <c r="D10" s="6">
        <f>SUM(D4:D9)</f>
        <v>1560000</v>
      </c>
      <c r="E10" s="6">
        <f t="shared" ref="E10:H10" si="3">SUM(E4:E9)</f>
        <v>1684800</v>
      </c>
      <c r="F10" s="6">
        <f t="shared" si="3"/>
        <v>1819584.0000000002</v>
      </c>
      <c r="G10" s="6">
        <f t="shared" si="3"/>
        <v>1965150.7200000002</v>
      </c>
      <c r="H10" s="6">
        <f t="shared" si="3"/>
        <v>2122362.7776000006</v>
      </c>
    </row>
    <row r="11" spans="1:8" ht="15" thickTop="1" x14ac:dyDescent="0.3"/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showGridLines="0" workbookViewId="0">
      <pane ySplit="3" topLeftCell="A4" activePane="bottomLeft" state="frozen"/>
      <selection pane="bottomLeft" sqref="A1:F9"/>
    </sheetView>
  </sheetViews>
  <sheetFormatPr defaultRowHeight="14.4" x14ac:dyDescent="0.3"/>
  <cols>
    <col min="1" max="1" width="19.21875" style="1" bestFit="1" customWidth="1"/>
    <col min="2" max="6" width="11.33203125" style="1" bestFit="1" customWidth="1"/>
    <col min="7" max="16384" width="8.88671875" style="1"/>
  </cols>
  <sheetData>
    <row r="1" spans="1:6" ht="21" x14ac:dyDescent="0.4">
      <c r="A1" s="101" t="s">
        <v>175</v>
      </c>
      <c r="B1" s="101"/>
      <c r="C1" s="101"/>
      <c r="D1" s="101"/>
      <c r="E1" s="101"/>
      <c r="F1" s="101"/>
    </row>
    <row r="3" spans="1:6" x14ac:dyDescent="0.3">
      <c r="A3" s="5" t="s">
        <v>120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</row>
    <row r="4" spans="1:6" x14ac:dyDescent="0.3">
      <c r="A4" s="1" t="s">
        <v>136</v>
      </c>
      <c r="B4" s="1">
        <f>'Revenue Schedule'!B6*(Assumptions!$C$49/360)</f>
        <v>40500</v>
      </c>
      <c r="C4" s="1">
        <f>'Revenue Schedule'!C6*(Assumptions!$C$49/360)</f>
        <v>45489.599999999999</v>
      </c>
      <c r="D4" s="1">
        <f>'Revenue Schedule'!D6*(Assumptions!$C$49/360)</f>
        <v>51093.918720000001</v>
      </c>
      <c r="E4" s="1">
        <f>'Revenue Schedule'!E6*(Assumptions!$C$49/360)</f>
        <v>57388.689506304006</v>
      </c>
      <c r="F4" s="1">
        <f>'Revenue Schedule'!F6*(Assumptions!$C$49/360)</f>
        <v>64458.976053480677</v>
      </c>
    </row>
    <row r="5" spans="1:6" x14ac:dyDescent="0.3">
      <c r="A5" s="1" t="s">
        <v>137</v>
      </c>
      <c r="B5" s="1">
        <f>'COGS Schedule'!B15*(Assumptions!$C$50/360)</f>
        <v>66096</v>
      </c>
      <c r="C5" s="1">
        <f>'COGS Schedule'!C15*(Assumptions!$C$50/360)</f>
        <v>74239.027199999997</v>
      </c>
      <c r="D5" s="1">
        <f>'COGS Schedule'!D15*(Assumptions!$C$50/360)</f>
        <v>81781.712363520011</v>
      </c>
      <c r="E5" s="1">
        <f>'COGS Schedule'!E15*(Assumptions!$C$50/360)</f>
        <v>90090.734339653645</v>
      </c>
      <c r="F5" s="1">
        <f>'COGS Schedule'!F15*(Assumptions!$C$50/360)</f>
        <v>99243.952948562481</v>
      </c>
    </row>
    <row r="6" spans="1:6" x14ac:dyDescent="0.3">
      <c r="A6" s="1" t="s">
        <v>138</v>
      </c>
      <c r="B6" s="1">
        <f>'COGS Schedule'!B15*(Assumptions!$C$51/360)</f>
        <v>132192</v>
      </c>
      <c r="C6" s="1">
        <f>'COGS Schedule'!C15*(Assumptions!$C$51/360)</f>
        <v>148478.05439999999</v>
      </c>
      <c r="D6" s="1">
        <f>'COGS Schedule'!D15*(Assumptions!$C$51/360)</f>
        <v>163563.42472704002</v>
      </c>
      <c r="E6" s="1">
        <f>'COGS Schedule'!E15*(Assumptions!$C$51/360)</f>
        <v>180181.46867930729</v>
      </c>
      <c r="F6" s="1">
        <f>'COGS Schedule'!F15*(Assumptions!$C$51/360)</f>
        <v>198487.90589712496</v>
      </c>
    </row>
    <row r="8" spans="1:6" ht="15" thickBot="1" x14ac:dyDescent="0.35">
      <c r="A8" s="6" t="s">
        <v>139</v>
      </c>
      <c r="B8" s="6">
        <f>SUM(B4:B5)-B6</f>
        <v>-25596</v>
      </c>
      <c r="C8" s="6">
        <f t="shared" ref="C8:F8" si="0">SUM(C4:C5)-C6</f>
        <v>-28749.427200000006</v>
      </c>
      <c r="D8" s="6">
        <f t="shared" si="0"/>
        <v>-30687.79364352001</v>
      </c>
      <c r="E8" s="6">
        <f t="shared" si="0"/>
        <v>-32702.044833349646</v>
      </c>
      <c r="F8" s="6">
        <f t="shared" si="0"/>
        <v>-34784.976895081811</v>
      </c>
    </row>
    <row r="9" spans="1:6" ht="15" thickTop="1" x14ac:dyDescent="0.3">
      <c r="A9" s="1" t="s">
        <v>149</v>
      </c>
      <c r="B9" s="1">
        <f>B8-('Historical FS'!D19+'Historical FS'!D20-'Historical FS'!D23)</f>
        <v>-53596</v>
      </c>
      <c r="C9" s="1">
        <f>C8-B8</f>
        <v>-3153.4272000000055</v>
      </c>
      <c r="D9" s="1">
        <f t="shared" ref="D9:F9" si="1">D8-C8</f>
        <v>-1938.3664435200044</v>
      </c>
      <c r="E9" s="1">
        <f t="shared" si="1"/>
        <v>-2014.2511898296361</v>
      </c>
      <c r="F9" s="1">
        <f t="shared" si="1"/>
        <v>-2082.9320617321646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showGridLines="0" workbookViewId="0">
      <selection sqref="A1:F11"/>
    </sheetView>
  </sheetViews>
  <sheetFormatPr defaultRowHeight="14.4" x14ac:dyDescent="0.3"/>
  <cols>
    <col min="1" max="1" width="23.21875" style="2" bestFit="1" customWidth="1"/>
    <col min="2" max="6" width="8.109375" style="2" bestFit="1" customWidth="1"/>
    <col min="7" max="16384" width="8.88671875" style="2"/>
  </cols>
  <sheetData>
    <row r="1" spans="1:6" ht="21" x14ac:dyDescent="0.4">
      <c r="A1" s="102" t="s">
        <v>176</v>
      </c>
      <c r="B1" s="102"/>
      <c r="C1" s="102"/>
      <c r="D1" s="102"/>
      <c r="E1" s="102"/>
      <c r="F1" s="102"/>
    </row>
    <row r="3" spans="1:6" x14ac:dyDescent="0.3">
      <c r="A3" s="60" t="s">
        <v>197</v>
      </c>
      <c r="B3" s="61" t="s">
        <v>110</v>
      </c>
      <c r="C3" s="61" t="s">
        <v>111</v>
      </c>
      <c r="D3" s="61" t="s">
        <v>112</v>
      </c>
      <c r="E3" s="61" t="s">
        <v>113</v>
      </c>
      <c r="F3" s="61" t="s">
        <v>114</v>
      </c>
    </row>
    <row r="4" spans="1:6" x14ac:dyDescent="0.3">
      <c r="A4" s="19" t="s">
        <v>198</v>
      </c>
      <c r="B4" s="59">
        <v>30000</v>
      </c>
      <c r="C4" s="59">
        <v>15000</v>
      </c>
      <c r="D4" s="59">
        <v>20000</v>
      </c>
      <c r="E4" s="59">
        <v>15000</v>
      </c>
      <c r="F4" s="59">
        <v>20000</v>
      </c>
    </row>
    <row r="5" spans="1:6" x14ac:dyDescent="0.3">
      <c r="A5" s="19" t="s">
        <v>199</v>
      </c>
      <c r="B5" s="59">
        <v>20000</v>
      </c>
      <c r="C5" s="59">
        <v>20000</v>
      </c>
      <c r="D5" s="59">
        <v>15000</v>
      </c>
      <c r="E5" s="59">
        <v>20000</v>
      </c>
      <c r="F5" s="59">
        <v>15000</v>
      </c>
    </row>
    <row r="6" spans="1:6" x14ac:dyDescent="0.3">
      <c r="A6" s="19" t="s">
        <v>200</v>
      </c>
      <c r="B6" s="59">
        <v>15000</v>
      </c>
      <c r="C6" s="59">
        <v>20000</v>
      </c>
      <c r="D6" s="59">
        <v>20000</v>
      </c>
      <c r="E6" s="59">
        <v>15000</v>
      </c>
      <c r="F6" s="59">
        <v>20000</v>
      </c>
    </row>
    <row r="7" spans="1:6" x14ac:dyDescent="0.3">
      <c r="A7" s="19" t="s">
        <v>201</v>
      </c>
      <c r="B7" s="59">
        <v>10000</v>
      </c>
      <c r="C7" s="59">
        <v>15000</v>
      </c>
      <c r="D7" s="59">
        <v>10000</v>
      </c>
      <c r="E7" s="59">
        <v>15000</v>
      </c>
      <c r="F7" s="59">
        <v>10000</v>
      </c>
    </row>
    <row r="8" spans="1:6" x14ac:dyDescent="0.3">
      <c r="A8" s="19" t="s">
        <v>202</v>
      </c>
      <c r="B8" s="59">
        <v>10000</v>
      </c>
      <c r="C8" s="59">
        <v>10000</v>
      </c>
      <c r="D8" s="59">
        <v>15000</v>
      </c>
      <c r="E8" s="59">
        <v>10000</v>
      </c>
      <c r="F8" s="59">
        <v>15000</v>
      </c>
    </row>
    <row r="9" spans="1:6" x14ac:dyDescent="0.3">
      <c r="A9" s="19" t="s">
        <v>203</v>
      </c>
      <c r="B9" s="59">
        <v>10000</v>
      </c>
      <c r="C9" s="59">
        <v>10000</v>
      </c>
      <c r="D9" s="59">
        <v>10000</v>
      </c>
      <c r="E9" s="59">
        <v>15000</v>
      </c>
      <c r="F9" s="59">
        <v>10000</v>
      </c>
    </row>
    <row r="10" spans="1:6" x14ac:dyDescent="0.3">
      <c r="A10" s="19" t="s">
        <v>204</v>
      </c>
      <c r="B10" s="59">
        <v>5000</v>
      </c>
      <c r="C10" s="59">
        <v>10000</v>
      </c>
      <c r="D10" s="59">
        <v>10000</v>
      </c>
      <c r="E10" s="59">
        <v>10000</v>
      </c>
      <c r="F10" s="59">
        <v>10000</v>
      </c>
    </row>
    <row r="11" spans="1:6" ht="15" thickBot="1" x14ac:dyDescent="0.35">
      <c r="A11" s="62" t="s">
        <v>205</v>
      </c>
      <c r="B11" s="63">
        <f>SUM(B4:B10)</f>
        <v>100000</v>
      </c>
      <c r="C11" s="63">
        <f t="shared" ref="C11:F11" si="0">SUM(C4:C10)</f>
        <v>100000</v>
      </c>
      <c r="D11" s="63">
        <f t="shared" si="0"/>
        <v>100000</v>
      </c>
      <c r="E11" s="63">
        <f t="shared" si="0"/>
        <v>100000</v>
      </c>
      <c r="F11" s="63">
        <f t="shared" si="0"/>
        <v>100000</v>
      </c>
    </row>
    <row r="12" spans="1:6" ht="15" thickTop="1" x14ac:dyDescent="0.3"/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showGridLines="0" workbookViewId="0">
      <pane ySplit="2" topLeftCell="A3" activePane="bottomLeft" state="frozen"/>
      <selection pane="bottomLeft" sqref="A1:F7"/>
    </sheetView>
  </sheetViews>
  <sheetFormatPr defaultRowHeight="14.4" x14ac:dyDescent="0.3"/>
  <cols>
    <col min="1" max="1" width="12.33203125" style="1" bestFit="1" customWidth="1"/>
    <col min="2" max="6" width="11.33203125" style="1" bestFit="1" customWidth="1"/>
    <col min="7" max="16384" width="8.88671875" style="1"/>
  </cols>
  <sheetData>
    <row r="1" spans="1:6" ht="21" x14ac:dyDescent="0.4">
      <c r="A1" s="103" t="s">
        <v>177</v>
      </c>
      <c r="B1" s="103"/>
      <c r="C1" s="103"/>
      <c r="D1" s="103"/>
      <c r="E1" s="103"/>
      <c r="F1" s="103"/>
    </row>
    <row r="3" spans="1:6" x14ac:dyDescent="0.3">
      <c r="A3" s="15" t="s">
        <v>140</v>
      </c>
      <c r="B3" s="15" t="s">
        <v>110</v>
      </c>
      <c r="C3" s="15" t="s">
        <v>111</v>
      </c>
      <c r="D3" s="15" t="s">
        <v>112</v>
      </c>
      <c r="E3" s="15" t="s">
        <v>113</v>
      </c>
      <c r="F3" s="15" t="s">
        <v>114</v>
      </c>
    </row>
    <row r="4" spans="1:6" x14ac:dyDescent="0.3">
      <c r="A4" s="1" t="s">
        <v>121</v>
      </c>
      <c r="B4" s="1">
        <v>375000</v>
      </c>
      <c r="C4" s="1">
        <f>B7</f>
        <v>427500</v>
      </c>
      <c r="D4" s="1">
        <f t="shared" ref="D4:F4" si="0">C7</f>
        <v>474750</v>
      </c>
      <c r="E4" s="1">
        <f t="shared" si="0"/>
        <v>517275</v>
      </c>
      <c r="F4" s="1">
        <f t="shared" si="0"/>
        <v>555547.5</v>
      </c>
    </row>
    <row r="5" spans="1:6" x14ac:dyDescent="0.3">
      <c r="A5" s="1" t="s">
        <v>122</v>
      </c>
      <c r="B5" s="1">
        <f>Capex!B11</f>
        <v>100000</v>
      </c>
      <c r="C5" s="1">
        <f>Capex!C11</f>
        <v>100000</v>
      </c>
      <c r="D5" s="1">
        <f>Capex!D11</f>
        <v>100000</v>
      </c>
      <c r="E5" s="1">
        <f>Capex!E11</f>
        <v>100000</v>
      </c>
      <c r="F5" s="1">
        <f>Capex!F11</f>
        <v>100000</v>
      </c>
    </row>
    <row r="6" spans="1:6" x14ac:dyDescent="0.3">
      <c r="A6" s="1" t="s">
        <v>87</v>
      </c>
      <c r="B6" s="1">
        <f>(B4+B5)/10</f>
        <v>47500</v>
      </c>
      <c r="C6" s="1">
        <f t="shared" ref="C6:F6" si="1">(C4+C5)/10</f>
        <v>52750</v>
      </c>
      <c r="D6" s="1">
        <f t="shared" si="1"/>
        <v>57475</v>
      </c>
      <c r="E6" s="1">
        <f t="shared" si="1"/>
        <v>61727.5</v>
      </c>
      <c r="F6" s="1">
        <f t="shared" si="1"/>
        <v>65554.75</v>
      </c>
    </row>
    <row r="7" spans="1:6" x14ac:dyDescent="0.3">
      <c r="A7" s="1" t="s">
        <v>123</v>
      </c>
      <c r="B7" s="1">
        <f>B4+B5-B6</f>
        <v>427500</v>
      </c>
      <c r="C7" s="1">
        <f t="shared" ref="C7:F7" si="2">C4+C5-C6</f>
        <v>474750</v>
      </c>
      <c r="D7" s="1">
        <f t="shared" si="2"/>
        <v>517275</v>
      </c>
      <c r="E7" s="1">
        <f t="shared" si="2"/>
        <v>555547.5</v>
      </c>
      <c r="F7" s="1">
        <f t="shared" si="2"/>
        <v>589992.75</v>
      </c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showGridLines="0" workbookViewId="0">
      <pane ySplit="3" topLeftCell="A4" activePane="bottomLeft" state="frozen"/>
      <selection pane="bottomLeft" sqref="A1:F18"/>
    </sheetView>
  </sheetViews>
  <sheetFormatPr defaultRowHeight="14.4" x14ac:dyDescent="0.3"/>
  <cols>
    <col min="1" max="1" width="16.88671875" style="1" bestFit="1" customWidth="1"/>
    <col min="2" max="6" width="11.5546875" style="1" bestFit="1" customWidth="1"/>
    <col min="7" max="10" width="8.88671875" style="1"/>
    <col min="11" max="11" width="12.6640625" style="1" bestFit="1" customWidth="1"/>
    <col min="12" max="16" width="11.33203125" style="1" bestFit="1" customWidth="1"/>
    <col min="17" max="16384" width="8.88671875" style="1"/>
  </cols>
  <sheetData>
    <row r="1" spans="1:6" ht="21" x14ac:dyDescent="0.4">
      <c r="A1" s="101" t="s">
        <v>178</v>
      </c>
      <c r="B1" s="101"/>
      <c r="C1" s="101"/>
      <c r="D1" s="101"/>
      <c r="E1" s="101"/>
      <c r="F1" s="101"/>
    </row>
    <row r="3" spans="1:6" x14ac:dyDescent="0.3">
      <c r="A3" s="5" t="s">
        <v>124</v>
      </c>
      <c r="B3" s="5" t="s">
        <v>110</v>
      </c>
      <c r="C3" s="5" t="s">
        <v>111</v>
      </c>
      <c r="D3" s="5" t="s">
        <v>112</v>
      </c>
      <c r="E3" s="5" t="s">
        <v>113</v>
      </c>
      <c r="F3" s="5" t="s">
        <v>114</v>
      </c>
    </row>
    <row r="4" spans="1:6" x14ac:dyDescent="0.3">
      <c r="A4" s="11" t="s">
        <v>142</v>
      </c>
    </row>
    <row r="5" spans="1:6" x14ac:dyDescent="0.3">
      <c r="A5" s="1" t="s">
        <v>141</v>
      </c>
      <c r="B5" s="1">
        <f>'Historical FS'!D24</f>
        <v>80000</v>
      </c>
      <c r="C5" s="1">
        <f>B7</f>
        <v>60000</v>
      </c>
      <c r="D5" s="1">
        <f t="shared" ref="D5:E5" si="0">C7</f>
        <v>40000</v>
      </c>
      <c r="E5" s="1">
        <f t="shared" si="0"/>
        <v>20000</v>
      </c>
    </row>
    <row r="6" spans="1:6" x14ac:dyDescent="0.3">
      <c r="A6" s="1" t="s">
        <v>144</v>
      </c>
      <c r="B6" s="1">
        <v>20000</v>
      </c>
      <c r="C6" s="1">
        <v>20000</v>
      </c>
      <c r="D6" s="1">
        <v>20000</v>
      </c>
      <c r="E6" s="1">
        <v>20000</v>
      </c>
    </row>
    <row r="7" spans="1:6" x14ac:dyDescent="0.3">
      <c r="A7" s="1" t="s">
        <v>145</v>
      </c>
      <c r="B7" s="1">
        <f>B5-B6</f>
        <v>60000</v>
      </c>
      <c r="C7" s="1">
        <f t="shared" ref="C7:E7" si="1">C5-C6</f>
        <v>40000</v>
      </c>
      <c r="D7" s="1">
        <f t="shared" si="1"/>
        <v>20000</v>
      </c>
      <c r="E7" s="1">
        <f t="shared" si="1"/>
        <v>0</v>
      </c>
    </row>
    <row r="8" spans="1:6" x14ac:dyDescent="0.3">
      <c r="A8" s="1" t="s">
        <v>146</v>
      </c>
      <c r="B8" s="1">
        <f>B7*10%</f>
        <v>6000</v>
      </c>
      <c r="C8" s="1">
        <f t="shared" ref="C8:E8" si="2">C7*10%</f>
        <v>4000</v>
      </c>
      <c r="D8" s="1">
        <f t="shared" si="2"/>
        <v>2000</v>
      </c>
      <c r="E8" s="1">
        <f t="shared" si="2"/>
        <v>0</v>
      </c>
    </row>
    <row r="10" spans="1:6" x14ac:dyDescent="0.3">
      <c r="A10" s="11" t="s">
        <v>143</v>
      </c>
    </row>
    <row r="11" spans="1:6" x14ac:dyDescent="0.3">
      <c r="A11" s="1" t="s">
        <v>141</v>
      </c>
      <c r="B11" s="1">
        <v>500000</v>
      </c>
      <c r="C11" s="1">
        <f>B13</f>
        <v>400000</v>
      </c>
      <c r="D11" s="1">
        <f t="shared" ref="D11:F11" si="3">C13</f>
        <v>300000</v>
      </c>
      <c r="E11" s="1">
        <f t="shared" si="3"/>
        <v>200000</v>
      </c>
      <c r="F11" s="1">
        <f t="shared" si="3"/>
        <v>100000</v>
      </c>
    </row>
    <row r="12" spans="1:6" x14ac:dyDescent="0.3">
      <c r="A12" s="1" t="s">
        <v>144</v>
      </c>
      <c r="B12" s="1">
        <v>100000</v>
      </c>
      <c r="C12" s="1">
        <v>100000</v>
      </c>
      <c r="D12" s="1">
        <v>100000</v>
      </c>
      <c r="E12" s="1">
        <v>100000</v>
      </c>
      <c r="F12" s="1">
        <v>100000</v>
      </c>
    </row>
    <row r="13" spans="1:6" x14ac:dyDescent="0.3">
      <c r="A13" s="1" t="s">
        <v>145</v>
      </c>
      <c r="B13" s="1">
        <f>B11-B12</f>
        <v>400000</v>
      </c>
      <c r="C13" s="1">
        <f t="shared" ref="C13:F13" si="4">C11-C12</f>
        <v>300000</v>
      </c>
      <c r="D13" s="1">
        <f t="shared" si="4"/>
        <v>200000</v>
      </c>
      <c r="E13" s="1">
        <f t="shared" si="4"/>
        <v>100000</v>
      </c>
      <c r="F13" s="1">
        <f t="shared" si="4"/>
        <v>0</v>
      </c>
    </row>
    <row r="14" spans="1:6" x14ac:dyDescent="0.3">
      <c r="A14" s="1" t="s">
        <v>146</v>
      </c>
      <c r="B14" s="1">
        <f>B13*10%</f>
        <v>40000</v>
      </c>
      <c r="C14" s="1">
        <f t="shared" ref="C14:F14" si="5">C13*10%</f>
        <v>30000</v>
      </c>
      <c r="D14" s="1">
        <f t="shared" si="5"/>
        <v>20000</v>
      </c>
      <c r="E14" s="1">
        <f t="shared" si="5"/>
        <v>10000</v>
      </c>
      <c r="F14" s="1">
        <f t="shared" si="5"/>
        <v>0</v>
      </c>
    </row>
    <row r="16" spans="1:6" x14ac:dyDescent="0.3">
      <c r="A16" s="12" t="s">
        <v>147</v>
      </c>
      <c r="B16" s="12">
        <f>B8+B14</f>
        <v>46000</v>
      </c>
      <c r="C16" s="12">
        <f t="shared" ref="C16:F16" si="6">C8+C14</f>
        <v>34000</v>
      </c>
      <c r="D16" s="12">
        <f t="shared" si="6"/>
        <v>22000</v>
      </c>
      <c r="E16" s="12">
        <f t="shared" si="6"/>
        <v>10000</v>
      </c>
      <c r="F16" s="12">
        <f t="shared" si="6"/>
        <v>0</v>
      </c>
    </row>
    <row r="17" spans="1:6" x14ac:dyDescent="0.3">
      <c r="A17" s="13" t="s">
        <v>100</v>
      </c>
      <c r="B17" s="13">
        <f>B13+B7</f>
        <v>460000</v>
      </c>
      <c r="C17" s="13">
        <f t="shared" ref="C17:F17" si="7">C13+C7</f>
        <v>340000</v>
      </c>
      <c r="D17" s="13">
        <f t="shared" si="7"/>
        <v>220000</v>
      </c>
      <c r="E17" s="13">
        <f t="shared" si="7"/>
        <v>100000</v>
      </c>
      <c r="F17" s="13">
        <f t="shared" si="7"/>
        <v>0</v>
      </c>
    </row>
    <row r="18" spans="1:6" ht="15" thickBot="1" x14ac:dyDescent="0.35">
      <c r="A18" s="14" t="s">
        <v>148</v>
      </c>
      <c r="B18" s="14">
        <f>B12+B6</f>
        <v>120000</v>
      </c>
      <c r="C18" s="14">
        <f t="shared" ref="C18:F18" si="8">C12+C6</f>
        <v>120000</v>
      </c>
      <c r="D18" s="14">
        <f t="shared" si="8"/>
        <v>120000</v>
      </c>
      <c r="E18" s="14">
        <f t="shared" si="8"/>
        <v>120000</v>
      </c>
      <c r="F18" s="14">
        <f t="shared" si="8"/>
        <v>100000</v>
      </c>
    </row>
    <row r="19" spans="1:6" ht="15" thickTop="1" x14ac:dyDescent="0.3"/>
    <row r="20" spans="1:6" x14ac:dyDescent="0.3">
      <c r="A20" s="39"/>
      <c r="B20" s="40"/>
      <c r="C20" s="40"/>
      <c r="D20" s="40"/>
      <c r="E20" s="40"/>
      <c r="F20" s="41"/>
    </row>
    <row r="21" spans="1:6" x14ac:dyDescent="0.3">
      <c r="A21" s="39"/>
      <c r="B21" s="41"/>
      <c r="C21" s="41"/>
      <c r="D21" s="41"/>
      <c r="E21" s="41"/>
      <c r="F21" s="41"/>
    </row>
    <row r="22" spans="1:6" x14ac:dyDescent="0.3">
      <c r="A22" s="39"/>
      <c r="B22" s="41"/>
      <c r="C22" s="41"/>
      <c r="D22" s="41"/>
      <c r="E22" s="41"/>
      <c r="F22" s="41"/>
    </row>
    <row r="23" spans="1:6" x14ac:dyDescent="0.3">
      <c r="A23" s="39"/>
      <c r="B23" s="41"/>
      <c r="C23" s="41"/>
      <c r="D23" s="41"/>
      <c r="E23" s="41"/>
      <c r="F23" s="41"/>
    </row>
    <row r="24" spans="1:6" x14ac:dyDescent="0.3">
      <c r="A24" s="39"/>
      <c r="B24" s="41"/>
      <c r="C24" s="41"/>
      <c r="D24" s="41"/>
      <c r="E24" s="41"/>
      <c r="F24" s="41"/>
    </row>
    <row r="25" spans="1:6" x14ac:dyDescent="0.3">
      <c r="A25" s="39"/>
      <c r="B25" s="41"/>
      <c r="C25" s="41"/>
      <c r="D25" s="41"/>
      <c r="E25" s="41"/>
      <c r="F25" s="41"/>
    </row>
    <row r="26" spans="1:6" x14ac:dyDescent="0.3">
      <c r="A26" s="41"/>
      <c r="B26" s="41"/>
      <c r="C26" s="41"/>
      <c r="D26" s="41"/>
      <c r="E26" s="41"/>
      <c r="F26" s="41"/>
    </row>
  </sheetData>
  <mergeCells count="1">
    <mergeCell ref="A1:F1"/>
  </mergeCells>
  <pageMargins left="0.75" right="0.75" top="1" bottom="1" header="0.5" footer="0.5"/>
  <ignoredErrors>
    <ignoredError sqref="B8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DF32-AC40-4889-9640-08755F289CD2}">
  <dimension ref="A1:F9"/>
  <sheetViews>
    <sheetView showGridLines="0" workbookViewId="0">
      <pane ySplit="3" topLeftCell="A4" activePane="bottomLeft" state="frozen"/>
      <selection pane="bottomLeft" sqref="A1:F8"/>
    </sheetView>
  </sheetViews>
  <sheetFormatPr defaultColWidth="9.109375" defaultRowHeight="14.4" x14ac:dyDescent="0.3"/>
  <cols>
    <col min="1" max="1" width="16.88671875" bestFit="1" customWidth="1"/>
    <col min="2" max="5" width="11.33203125" bestFit="1" customWidth="1"/>
    <col min="6" max="6" width="12.33203125" bestFit="1" customWidth="1"/>
  </cols>
  <sheetData>
    <row r="1" spans="1:6" ht="21" x14ac:dyDescent="0.4">
      <c r="A1" s="97" t="s">
        <v>179</v>
      </c>
      <c r="B1" s="97"/>
      <c r="C1" s="97"/>
      <c r="D1" s="97"/>
      <c r="E1" s="97"/>
      <c r="F1" s="97"/>
    </row>
    <row r="3" spans="1:6" x14ac:dyDescent="0.3">
      <c r="A3" s="36" t="s">
        <v>125</v>
      </c>
      <c r="B3" s="36" t="s">
        <v>110</v>
      </c>
      <c r="C3" s="36" t="s">
        <v>111</v>
      </c>
      <c r="D3" s="36" t="s">
        <v>112</v>
      </c>
      <c r="E3" s="36" t="s">
        <v>113</v>
      </c>
      <c r="F3" s="36" t="s">
        <v>114</v>
      </c>
    </row>
    <row r="4" spans="1:6" x14ac:dyDescent="0.3">
      <c r="A4" s="19" t="s">
        <v>150</v>
      </c>
      <c r="B4" s="20">
        <f>'Historical FS'!D25</f>
        <v>493000</v>
      </c>
      <c r="C4" s="22">
        <f>B8</f>
        <v>733237.6</v>
      </c>
      <c r="D4" s="22">
        <f t="shared" ref="D4:F4" si="0">C8</f>
        <v>1101639.2299149577</v>
      </c>
      <c r="E4" s="22">
        <f t="shared" si="0"/>
        <v>1642495.4126790408</v>
      </c>
      <c r="F4" s="22">
        <f t="shared" si="0"/>
        <v>2385114.3884989824</v>
      </c>
    </row>
    <row r="5" spans="1:6" x14ac:dyDescent="0.3">
      <c r="A5" s="19" t="s">
        <v>151</v>
      </c>
      <c r="B5" s="20"/>
    </row>
    <row r="6" spans="1:6" x14ac:dyDescent="0.3">
      <c r="A6" s="19" t="s">
        <v>152</v>
      </c>
      <c r="B6" s="21">
        <f>'Forecast IS'!B24</f>
        <v>300297</v>
      </c>
      <c r="C6" s="21">
        <f>'Forecast IS'!C24</f>
        <v>460502.03739369713</v>
      </c>
      <c r="D6" s="21">
        <f>'Forecast IS'!D24</f>
        <v>676070.22845510405</v>
      </c>
      <c r="E6" s="21">
        <f>'Forecast IS'!E24</f>
        <v>928273.71977492678</v>
      </c>
      <c r="F6" s="21">
        <f>'Forecast IS'!F24</f>
        <v>1220848.9725510546</v>
      </c>
    </row>
    <row r="7" spans="1:6" x14ac:dyDescent="0.3">
      <c r="A7" s="19" t="s">
        <v>153</v>
      </c>
      <c r="B7" s="20">
        <f>B6*20%</f>
        <v>60059.4</v>
      </c>
      <c r="C7" s="20">
        <f t="shared" ref="C7:F7" si="1">C6*20%</f>
        <v>92100.407478739435</v>
      </c>
      <c r="D7" s="20">
        <f t="shared" si="1"/>
        <v>135214.04569102082</v>
      </c>
      <c r="E7" s="20">
        <f t="shared" si="1"/>
        <v>185654.74395498537</v>
      </c>
      <c r="F7" s="20">
        <f t="shared" si="1"/>
        <v>244169.79451021092</v>
      </c>
    </row>
    <row r="8" spans="1:6" ht="15" thickBot="1" x14ac:dyDescent="0.35">
      <c r="A8" s="37" t="s">
        <v>154</v>
      </c>
      <c r="B8" s="38">
        <f>B4+B5+B6-B7</f>
        <v>733237.6</v>
      </c>
      <c r="C8" s="38">
        <f t="shared" ref="C8:F8" si="2">C4+C5+C6-C7</f>
        <v>1101639.2299149577</v>
      </c>
      <c r="D8" s="38">
        <f t="shared" si="2"/>
        <v>1642495.4126790408</v>
      </c>
      <c r="E8" s="38">
        <f t="shared" si="2"/>
        <v>2385114.3884989824</v>
      </c>
      <c r="F8" s="38">
        <f t="shared" si="2"/>
        <v>3361793.5665398259</v>
      </c>
    </row>
    <row r="9" spans="1:6" ht="15" thickTop="1" x14ac:dyDescent="0.3"/>
  </sheetData>
  <mergeCells count="1">
    <mergeCell ref="A1:F1"/>
  </mergeCells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5"/>
  <sheetViews>
    <sheetView showGridLines="0" workbookViewId="0">
      <pane ySplit="3" topLeftCell="A4" activePane="bottomLeft" state="frozen"/>
      <selection pane="bottomLeft" sqref="A1:G14"/>
    </sheetView>
  </sheetViews>
  <sheetFormatPr defaultRowHeight="14.4" x14ac:dyDescent="0.3"/>
  <cols>
    <col min="1" max="1" width="15.6640625" style="1" bestFit="1" customWidth="1"/>
    <col min="2" max="5" width="12.33203125" style="1" bestFit="1" customWidth="1"/>
    <col min="6" max="6" width="12.5546875" style="1" bestFit="1" customWidth="1"/>
    <col min="7" max="7" width="14.21875" style="1" bestFit="1" customWidth="1"/>
    <col min="8" max="8" width="8.88671875" style="1"/>
    <col min="9" max="9" width="15.6640625" style="1" bestFit="1" customWidth="1"/>
    <col min="10" max="10" width="13.88671875" style="1" bestFit="1" customWidth="1"/>
    <col min="11" max="16384" width="8.88671875" style="1"/>
  </cols>
  <sheetData>
    <row r="1" spans="1:7" ht="21" x14ac:dyDescent="0.4">
      <c r="A1" s="101" t="s">
        <v>183</v>
      </c>
      <c r="B1" s="101"/>
      <c r="C1" s="101"/>
      <c r="D1" s="101"/>
      <c r="E1" s="101"/>
      <c r="F1" s="101"/>
      <c r="G1" s="101"/>
    </row>
    <row r="3" spans="1:7" x14ac:dyDescent="0.3">
      <c r="A3" s="24" t="s">
        <v>125</v>
      </c>
      <c r="B3" s="25" t="s">
        <v>110</v>
      </c>
      <c r="C3" s="25" t="s">
        <v>111</v>
      </c>
      <c r="D3" s="25" t="s">
        <v>112</v>
      </c>
      <c r="E3" s="25" t="s">
        <v>113</v>
      </c>
      <c r="F3" s="25" t="s">
        <v>114</v>
      </c>
      <c r="G3" s="49" t="s">
        <v>185</v>
      </c>
    </row>
    <row r="4" spans="1:7" x14ac:dyDescent="0.3">
      <c r="A4" s="26" t="s">
        <v>83</v>
      </c>
      <c r="B4" s="27">
        <f>'Revenue Schedule'!B6</f>
        <v>4860000</v>
      </c>
      <c r="C4" s="27">
        <f>'Revenue Schedule'!C6</f>
        <v>5458752</v>
      </c>
      <c r="D4" s="27">
        <f>'Revenue Schedule'!D6</f>
        <v>6131270.2464000005</v>
      </c>
      <c r="E4" s="27">
        <f>'Revenue Schedule'!E6</f>
        <v>6886642.740756481</v>
      </c>
      <c r="F4" s="27">
        <f>'Revenue Schedule'!F6</f>
        <v>7735077.1264176816</v>
      </c>
      <c r="G4" s="46">
        <v>0</v>
      </c>
    </row>
    <row r="5" spans="1:7" x14ac:dyDescent="0.3">
      <c r="A5" s="26" t="s">
        <v>88</v>
      </c>
      <c r="B5" s="27">
        <f>'Forecast IS'!B16</f>
        <v>446396</v>
      </c>
      <c r="C5" s="27">
        <f>'Forecast IS'!C16</f>
        <v>648002.71652492951</v>
      </c>
      <c r="D5" s="27">
        <f>'Forecast IS'!D16</f>
        <v>923426.97127347207</v>
      </c>
      <c r="E5" s="27">
        <f>'Forecast IS'!E16</f>
        <v>1247698.2930332357</v>
      </c>
      <c r="F5" s="27">
        <f>'Forecast IS'!F16</f>
        <v>1627798.6300680728</v>
      </c>
      <c r="G5" s="46">
        <v>0</v>
      </c>
    </row>
    <row r="6" spans="1:7" x14ac:dyDescent="0.3">
      <c r="A6" s="26" t="s">
        <v>91</v>
      </c>
      <c r="B6" s="27">
        <f>B5*25%</f>
        <v>111599</v>
      </c>
      <c r="C6" s="27">
        <f t="shared" ref="C6:F6" si="0">C5*25%</f>
        <v>162000.67913123238</v>
      </c>
      <c r="D6" s="27">
        <f t="shared" si="0"/>
        <v>230856.74281836802</v>
      </c>
      <c r="E6" s="27">
        <f t="shared" si="0"/>
        <v>311924.57325830893</v>
      </c>
      <c r="F6" s="27">
        <f t="shared" si="0"/>
        <v>406949.6575170182</v>
      </c>
      <c r="G6" s="46">
        <v>0</v>
      </c>
    </row>
    <row r="7" spans="1:7" x14ac:dyDescent="0.3">
      <c r="A7" s="26" t="s">
        <v>155</v>
      </c>
      <c r="B7" s="27">
        <f>B5-B6</f>
        <v>334797</v>
      </c>
      <c r="C7" s="27">
        <f t="shared" ref="C7:F7" si="1">C5-C6</f>
        <v>486002.03739369713</v>
      </c>
      <c r="D7" s="27">
        <f t="shared" si="1"/>
        <v>692570.22845510405</v>
      </c>
      <c r="E7" s="27">
        <f t="shared" si="1"/>
        <v>935773.71977492678</v>
      </c>
      <c r="F7" s="27">
        <f t="shared" si="1"/>
        <v>1220848.9725510546</v>
      </c>
      <c r="G7" s="46">
        <v>0</v>
      </c>
    </row>
    <row r="8" spans="1:7" x14ac:dyDescent="0.3">
      <c r="A8" s="26" t="s">
        <v>156</v>
      </c>
      <c r="B8" s="27">
        <f>'Forecast IS'!B14</f>
        <v>47500</v>
      </c>
      <c r="C8" s="27">
        <f>'Forecast IS'!C14</f>
        <v>52750</v>
      </c>
      <c r="D8" s="27">
        <f>'Forecast IS'!D14</f>
        <v>57475</v>
      </c>
      <c r="E8" s="27">
        <f>'Forecast IS'!E14</f>
        <v>61727.5</v>
      </c>
      <c r="F8" s="27">
        <f>'Forecast IS'!F14</f>
        <v>65554.75</v>
      </c>
      <c r="G8" s="46">
        <v>0</v>
      </c>
    </row>
    <row r="9" spans="1:7" x14ac:dyDescent="0.3">
      <c r="A9" s="26" t="s">
        <v>157</v>
      </c>
      <c r="B9" s="27">
        <f>-Capex!B4</f>
        <v>-30000</v>
      </c>
      <c r="C9" s="27">
        <f>-Capex!C4</f>
        <v>-15000</v>
      </c>
      <c r="D9" s="27">
        <f>-Capex!D4</f>
        <v>-20000</v>
      </c>
      <c r="E9" s="27">
        <f>-Capex!E4</f>
        <v>-15000</v>
      </c>
      <c r="F9" s="27">
        <f>-Capex!F4</f>
        <v>-20000</v>
      </c>
      <c r="G9" s="46">
        <v>0</v>
      </c>
    </row>
    <row r="10" spans="1:7" x14ac:dyDescent="0.3">
      <c r="A10" s="26" t="s">
        <v>158</v>
      </c>
      <c r="B10" s="27">
        <f>-'Working Capital'!B9</f>
        <v>53596</v>
      </c>
      <c r="C10" s="27">
        <f>-'Working Capital'!C9</f>
        <v>3153.4272000000055</v>
      </c>
      <c r="D10" s="27">
        <f>-'Working Capital'!D9</f>
        <v>1938.3664435200044</v>
      </c>
      <c r="E10" s="27">
        <f>-'Working Capital'!E9</f>
        <v>2014.2511898296361</v>
      </c>
      <c r="F10" s="27">
        <f>-'Working Capital'!F9</f>
        <v>2082.9320617321646</v>
      </c>
      <c r="G10" s="46">
        <v>0</v>
      </c>
    </row>
    <row r="11" spans="1:7" x14ac:dyDescent="0.3">
      <c r="A11" s="32" t="s">
        <v>159</v>
      </c>
      <c r="B11" s="33">
        <f>B7+B8+B9+B10</f>
        <v>405893</v>
      </c>
      <c r="C11" s="33">
        <f t="shared" ref="C11:F11" si="2">C7+C8+C9+C10</f>
        <v>526905.46459369711</v>
      </c>
      <c r="D11" s="33">
        <f t="shared" si="2"/>
        <v>731983.59489862411</v>
      </c>
      <c r="E11" s="33">
        <f t="shared" si="2"/>
        <v>984515.47096475645</v>
      </c>
      <c r="F11" s="33">
        <f t="shared" si="2"/>
        <v>1268486.6546127866</v>
      </c>
      <c r="G11" s="45">
        <f>F11*1.04/8%</f>
        <v>16490326.509966226</v>
      </c>
    </row>
    <row r="12" spans="1:7" x14ac:dyDescent="0.3">
      <c r="A12" s="26" t="s">
        <v>160</v>
      </c>
      <c r="B12" s="27">
        <f>1/(1.12)^B13</f>
        <v>0.89285714285714279</v>
      </c>
      <c r="C12" s="27">
        <f t="shared" ref="C12:G12" si="3">1/(1.12)^C13</f>
        <v>0.79719387755102034</v>
      </c>
      <c r="D12" s="27">
        <f t="shared" si="3"/>
        <v>0.71178024781341087</v>
      </c>
      <c r="E12" s="27">
        <f t="shared" si="3"/>
        <v>0.63551807840483121</v>
      </c>
      <c r="F12" s="27">
        <f t="shared" si="3"/>
        <v>0.56742685571859919</v>
      </c>
      <c r="G12" s="47">
        <f t="shared" si="3"/>
        <v>0.50663112117732068</v>
      </c>
    </row>
    <row r="13" spans="1:7" x14ac:dyDescent="0.3">
      <c r="A13" s="1" t="s">
        <v>140</v>
      </c>
      <c r="B13" s="27">
        <v>1</v>
      </c>
      <c r="C13" s="27">
        <v>2</v>
      </c>
      <c r="D13" s="27">
        <v>3</v>
      </c>
      <c r="E13" s="27">
        <v>4</v>
      </c>
      <c r="F13" s="27">
        <v>5</v>
      </c>
      <c r="G13" s="46">
        <v>6</v>
      </c>
    </row>
    <row r="14" spans="1:7" ht="15" thickBot="1" x14ac:dyDescent="0.35">
      <c r="A14" s="31" t="s">
        <v>161</v>
      </c>
      <c r="B14" s="6">
        <f>B11*B12</f>
        <v>362404.46428571426</v>
      </c>
      <c r="C14" s="6">
        <f t="shared" ref="C14:G14" si="4">C11*C12</f>
        <v>420045.81042227126</v>
      </c>
      <c r="D14" s="6">
        <f t="shared" si="4"/>
        <v>521011.46457229403</v>
      </c>
      <c r="E14" s="6">
        <f t="shared" si="4"/>
        <v>625677.38026734942</v>
      </c>
      <c r="F14" s="6">
        <f t="shared" si="4"/>
        <v>719773.39394793822</v>
      </c>
      <c r="G14" s="48">
        <f t="shared" si="4"/>
        <v>8354512.6083242828</v>
      </c>
    </row>
    <row r="15" spans="1:7" ht="15" thickTop="1" x14ac:dyDescent="0.3"/>
  </sheetData>
  <mergeCells count="1">
    <mergeCell ref="A1:G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 Report</vt:lpstr>
      <vt:lpstr>Detailed Report</vt:lpstr>
      <vt:lpstr>Business Summary</vt:lpstr>
      <vt:lpstr>Assumptions</vt:lpstr>
      <vt:lpstr>Forecast IS</vt:lpstr>
      <vt:lpstr>Forecast BS</vt:lpstr>
      <vt:lpstr>Forecast CF</vt:lpstr>
      <vt:lpstr>Historical FS</vt:lpstr>
      <vt:lpstr>CVP Analysis</vt:lpstr>
      <vt:lpstr>Revenue Schedule</vt:lpstr>
      <vt:lpstr>COGS Schedule</vt:lpstr>
      <vt:lpstr>Operating Expenses</vt:lpstr>
      <vt:lpstr>Payroll</vt:lpstr>
      <vt:lpstr>Working Capital</vt:lpstr>
      <vt:lpstr>Capex</vt:lpstr>
      <vt:lpstr>Depreciation</vt:lpstr>
      <vt:lpstr>Debt</vt:lpstr>
      <vt:lpstr>Equity</vt:lpstr>
      <vt:lpstr>DCF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Harshavardhaan Chandrasekaran</cp:lastModifiedBy>
  <cp:lastPrinted>2026-07-16T06:16:28Z</cp:lastPrinted>
  <dcterms:created xsi:type="dcterms:W3CDTF">2026-07-15T14:53:27Z</dcterms:created>
  <dcterms:modified xsi:type="dcterms:W3CDTF">2026-07-16T07:18:58Z</dcterms:modified>
</cp:coreProperties>
</file>